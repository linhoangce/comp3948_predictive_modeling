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ho\Desktop\CST\term3\pred_analytics\week9\"/>
    </mc:Choice>
  </mc:AlternateContent>
  <xr:revisionPtr revIDLastSave="0" documentId="8_{A39C9249-23BA-49EF-9C8A-6A4F013050E4}" xr6:coauthVersionLast="47" xr6:coauthVersionMax="47" xr10:uidLastSave="{00000000-0000-0000-0000-000000000000}"/>
  <bookViews>
    <workbookView xWindow="-108" yWindow="-108" windowWidth="23256" windowHeight="12456" xr2:uid="{CDEE84C3-6277-48AA-9251-3BD2CB1AFA69}"/>
  </bookViews>
  <sheets>
    <sheet name="Sheet1" sheetId="1" r:id="rId1"/>
  </sheets>
  <definedNames>
    <definedName name="Profits2">Sheet1!$I$4:$I$503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D7" i="1"/>
  <c r="B7" i="1"/>
  <c r="F7" i="1" l="1"/>
  <c r="I4" i="1" s="1"/>
  <c r="B15" i="1" s="1"/>
  <c r="B12" i="1" l="1"/>
  <c r="B13" i="1"/>
  <c r="B10" i="1"/>
  <c r="B11" i="1"/>
</calcChain>
</file>

<file path=xl/sharedStrings.xml><?xml version="1.0" encoding="utf-8"?>
<sst xmlns="http://schemas.openxmlformats.org/spreadsheetml/2006/main" count="15" uniqueCount="15">
  <si>
    <t>Revenue</t>
  </si>
  <si>
    <t>FC</t>
  </si>
  <si>
    <t>VC</t>
  </si>
  <si>
    <t>Expected</t>
  </si>
  <si>
    <t>Std</t>
  </si>
  <si>
    <t>First Simulation</t>
  </si>
  <si>
    <t>mean</t>
  </si>
  <si>
    <t>sd</t>
  </si>
  <si>
    <t>Min</t>
  </si>
  <si>
    <t>Max</t>
  </si>
  <si>
    <t>Risk of loss</t>
  </si>
  <si>
    <t>Profit</t>
  </si>
  <si>
    <t>Trial</t>
  </si>
  <si>
    <t>Profits</t>
  </si>
  <si>
    <t>Monte Carlo Simulation using What If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</si>
</sst>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165" fontId="0" fillId="0" borderId="1" xfId="1" applyNumberFormat="1" applyFont="1" applyBorder="1"/>
    <xf numFmtId="165" fontId="0" fillId="0" borderId="0" xfId="0" applyNumberFormat="1"/>
    <xf numFmtId="10" fontId="0" fillId="0" borderId="1" xfId="2" applyNumberFormat="1" applyFont="1" applyBorder="1"/>
    <xf numFmtId="0" fontId="3" fillId="0" borderId="0" xfId="0" applyFont="1" applyAlignment="1">
      <alignment horizontal="center"/>
    </xf>
    <xf numFmtId="0" fontId="2" fillId="2" borderId="1" xfId="0" applyFont="1" applyFill="1" applyBorder="1"/>
    <xf numFmtId="0" fontId="2" fillId="0" borderId="0" xfId="0" applyFont="1"/>
    <xf numFmtId="43" fontId="2" fillId="2" borderId="1" xfId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6C4A7-F76F-4C2C-99B6-76E81F8B58A9}">
  <dimension ref="A1:I503"/>
  <sheetViews>
    <sheetView tabSelected="1" workbookViewId="0">
      <selection activeCell="E11" sqref="E11"/>
    </sheetView>
  </sheetViews>
  <sheetFormatPr defaultRowHeight="14.4" x14ac:dyDescent="0.3"/>
  <cols>
    <col min="1" max="1" width="13.44140625" style="7" bestFit="1" customWidth="1"/>
    <col min="2" max="2" width="11.6640625" customWidth="1"/>
    <col min="3" max="3" width="10.44140625" bestFit="1" customWidth="1"/>
    <col min="4" max="4" width="11.44140625" bestFit="1" customWidth="1"/>
  </cols>
  <sheetData>
    <row r="1" spans="1:9" ht="18" x14ac:dyDescent="0.35">
      <c r="A1" s="5" t="s">
        <v>14</v>
      </c>
      <c r="B1" s="5"/>
      <c r="C1" s="5"/>
      <c r="D1" s="5"/>
      <c r="E1" s="5"/>
      <c r="F1" s="5"/>
      <c r="G1" s="5"/>
      <c r="H1" s="5"/>
      <c r="I1" s="5"/>
    </row>
    <row r="3" spans="1:9" x14ac:dyDescent="0.3">
      <c r="A3" s="6"/>
      <c r="B3" s="6" t="s">
        <v>0</v>
      </c>
      <c r="C3" s="6" t="s">
        <v>1</v>
      </c>
      <c r="D3" s="6" t="s">
        <v>2</v>
      </c>
      <c r="H3" t="s">
        <v>12</v>
      </c>
      <c r="I3" t="s">
        <v>13</v>
      </c>
    </row>
    <row r="4" spans="1:9" x14ac:dyDescent="0.3">
      <c r="A4" s="6" t="s">
        <v>3</v>
      </c>
      <c r="B4" s="2">
        <v>194500</v>
      </c>
      <c r="C4" s="2">
        <v>60000</v>
      </c>
      <c r="D4" s="2">
        <v>100000</v>
      </c>
      <c r="H4">
        <v>1</v>
      </c>
      <c r="I4" s="3">
        <f ca="1">F7</f>
        <v>68172.530557326827</v>
      </c>
    </row>
    <row r="5" spans="1:9" x14ac:dyDescent="0.3">
      <c r="A5" s="8" t="s">
        <v>4</v>
      </c>
      <c r="B5" s="2">
        <v>15000</v>
      </c>
      <c r="C5" s="2">
        <v>4000</v>
      </c>
      <c r="D5" s="2">
        <v>40000</v>
      </c>
      <c r="H5">
        <v>2</v>
      </c>
      <c r="I5">
        <f t="dataTable" ref="I5:I503" dt2D="0" dtr="0" r1="F2" ca="1"/>
        <v>19046.720931075964</v>
      </c>
    </row>
    <row r="6" spans="1:9" x14ac:dyDescent="0.3">
      <c r="A6" s="6"/>
      <c r="B6" s="2"/>
      <c r="C6" s="2"/>
      <c r="D6" s="2"/>
      <c r="F6" t="s">
        <v>11</v>
      </c>
      <c r="H6">
        <v>3</v>
      </c>
      <c r="I6">
        <v>100449.85463141269</v>
      </c>
    </row>
    <row r="7" spans="1:9" x14ac:dyDescent="0.3">
      <c r="A7" s="6" t="s">
        <v>5</v>
      </c>
      <c r="B7" s="2">
        <f ca="1">_xlfn.NORM.INV(RAND(), B4,B5)</f>
        <v>184292.91815315749</v>
      </c>
      <c r="C7" s="2">
        <f t="shared" ref="C7:D7" ca="1" si="0">_xlfn.NORM.INV(RAND(), C4,C5)</f>
        <v>58424.190136326877</v>
      </c>
      <c r="D7" s="2">
        <f t="shared" ca="1" si="0"/>
        <v>57696.197459503768</v>
      </c>
      <c r="F7" s="3">
        <f ca="1">B7-C7-D7</f>
        <v>68172.530557326827</v>
      </c>
      <c r="H7">
        <v>4</v>
      </c>
      <c r="I7">
        <v>81242.867775047824</v>
      </c>
    </row>
    <row r="8" spans="1:9" x14ac:dyDescent="0.3">
      <c r="H8">
        <v>5</v>
      </c>
      <c r="I8">
        <v>69337.782209221798</v>
      </c>
    </row>
    <row r="9" spans="1:9" x14ac:dyDescent="0.3">
      <c r="H9">
        <v>6</v>
      </c>
      <c r="I9">
        <v>23493.622000409669</v>
      </c>
    </row>
    <row r="10" spans="1:9" x14ac:dyDescent="0.3">
      <c r="A10" s="6" t="s">
        <v>6</v>
      </c>
      <c r="B10" s="1">
        <f ca="1">AVERAGE(Profits2)</f>
        <v>36236.297319943071</v>
      </c>
      <c r="H10">
        <v>7</v>
      </c>
      <c r="I10">
        <v>46300.670942071942</v>
      </c>
    </row>
    <row r="11" spans="1:9" x14ac:dyDescent="0.3">
      <c r="A11" s="6" t="s">
        <v>7</v>
      </c>
      <c r="B11" s="1">
        <f ca="1">STDEV(Profits2)</f>
        <v>42114.677392008089</v>
      </c>
      <c r="H11">
        <v>8</v>
      </c>
      <c r="I11">
        <v>44719.357823808547</v>
      </c>
    </row>
    <row r="12" spans="1:9" x14ac:dyDescent="0.3">
      <c r="A12" s="6" t="s">
        <v>8</v>
      </c>
      <c r="B12" s="1">
        <f ca="1">MIN(Profits2)</f>
        <v>-94581.776963420169</v>
      </c>
      <c r="H12">
        <v>9</v>
      </c>
      <c r="I12">
        <v>-10708.839855863014</v>
      </c>
    </row>
    <row r="13" spans="1:9" x14ac:dyDescent="0.3">
      <c r="A13" s="6" t="s">
        <v>9</v>
      </c>
      <c r="B13" s="1">
        <f ca="1">MAX(Profits2)</f>
        <v>148754.0540057027</v>
      </c>
      <c r="H13">
        <v>10</v>
      </c>
      <c r="I13">
        <v>59729.915119078956</v>
      </c>
    </row>
    <row r="14" spans="1:9" x14ac:dyDescent="0.3">
      <c r="A14" s="6"/>
      <c r="B14" s="1"/>
      <c r="H14">
        <v>11</v>
      </c>
      <c r="I14">
        <v>26097.295158077031</v>
      </c>
    </row>
    <row r="15" spans="1:9" x14ac:dyDescent="0.3">
      <c r="A15" s="6" t="s">
        <v>10</v>
      </c>
      <c r="B15" s="4">
        <f ca="1">COUNTIF(Profits2, "&lt;0")/500</f>
        <v>0.19600000000000001</v>
      </c>
      <c r="H15">
        <v>12</v>
      </c>
      <c r="I15">
        <v>51320.36742767437</v>
      </c>
    </row>
    <row r="16" spans="1:9" x14ac:dyDescent="0.3">
      <c r="A16" s="6"/>
      <c r="B16" s="1"/>
      <c r="H16">
        <v>13</v>
      </c>
      <c r="I16">
        <v>-11185.055607287388</v>
      </c>
    </row>
    <row r="17" spans="8:9" x14ac:dyDescent="0.3">
      <c r="H17">
        <v>14</v>
      </c>
      <c r="I17">
        <v>72807.91565768086</v>
      </c>
    </row>
    <row r="18" spans="8:9" x14ac:dyDescent="0.3">
      <c r="H18">
        <v>15</v>
      </c>
      <c r="I18">
        <v>27922.752562112844</v>
      </c>
    </row>
    <row r="19" spans="8:9" x14ac:dyDescent="0.3">
      <c r="H19">
        <v>16</v>
      </c>
      <c r="I19">
        <v>93841.114034477418</v>
      </c>
    </row>
    <row r="20" spans="8:9" x14ac:dyDescent="0.3">
      <c r="H20">
        <v>17</v>
      </c>
      <c r="I20">
        <v>61239.619445604156</v>
      </c>
    </row>
    <row r="21" spans="8:9" x14ac:dyDescent="0.3">
      <c r="H21">
        <v>18</v>
      </c>
      <c r="I21">
        <v>1873.2218026704941</v>
      </c>
    </row>
    <row r="22" spans="8:9" x14ac:dyDescent="0.3">
      <c r="H22">
        <v>19</v>
      </c>
      <c r="I22">
        <v>3005.5699953198928</v>
      </c>
    </row>
    <row r="23" spans="8:9" x14ac:dyDescent="0.3">
      <c r="H23">
        <v>20</v>
      </c>
      <c r="I23">
        <v>38862.086244182341</v>
      </c>
    </row>
    <row r="24" spans="8:9" x14ac:dyDescent="0.3">
      <c r="H24">
        <v>21</v>
      </c>
      <c r="I24">
        <v>117515.25607148565</v>
      </c>
    </row>
    <row r="25" spans="8:9" x14ac:dyDescent="0.3">
      <c r="H25">
        <v>22</v>
      </c>
      <c r="I25">
        <v>105606.62250884301</v>
      </c>
    </row>
    <row r="26" spans="8:9" x14ac:dyDescent="0.3">
      <c r="H26">
        <v>23</v>
      </c>
      <c r="I26">
        <v>32014.262711062271</v>
      </c>
    </row>
    <row r="27" spans="8:9" x14ac:dyDescent="0.3">
      <c r="H27">
        <v>24</v>
      </c>
      <c r="I27">
        <v>-56546.488054002868</v>
      </c>
    </row>
    <row r="28" spans="8:9" x14ac:dyDescent="0.3">
      <c r="H28">
        <v>25</v>
      </c>
      <c r="I28">
        <v>-29954.967800694605</v>
      </c>
    </row>
    <row r="29" spans="8:9" x14ac:dyDescent="0.3">
      <c r="H29">
        <v>26</v>
      </c>
      <c r="I29">
        <v>-1982.1007327311236</v>
      </c>
    </row>
    <row r="30" spans="8:9" x14ac:dyDescent="0.3">
      <c r="H30">
        <v>27</v>
      </c>
      <c r="I30">
        <v>53971.595565872718</v>
      </c>
    </row>
    <row r="31" spans="8:9" x14ac:dyDescent="0.3">
      <c r="H31">
        <v>28</v>
      </c>
      <c r="I31">
        <v>-16128.631559557689</v>
      </c>
    </row>
    <row r="32" spans="8:9" x14ac:dyDescent="0.3">
      <c r="H32">
        <v>29</v>
      </c>
      <c r="I32">
        <v>93882.01397285347</v>
      </c>
    </row>
    <row r="33" spans="8:9" x14ac:dyDescent="0.3">
      <c r="H33">
        <v>30</v>
      </c>
      <c r="I33">
        <v>13948.694498366764</v>
      </c>
    </row>
    <row r="34" spans="8:9" x14ac:dyDescent="0.3">
      <c r="H34">
        <v>31</v>
      </c>
      <c r="I34">
        <v>-34377.736688674253</v>
      </c>
    </row>
    <row r="35" spans="8:9" x14ac:dyDescent="0.3">
      <c r="H35">
        <v>32</v>
      </c>
      <c r="I35">
        <v>40804.097542336443</v>
      </c>
    </row>
    <row r="36" spans="8:9" x14ac:dyDescent="0.3">
      <c r="H36">
        <v>33</v>
      </c>
      <c r="I36">
        <v>-94581.776963420169</v>
      </c>
    </row>
    <row r="37" spans="8:9" x14ac:dyDescent="0.3">
      <c r="H37">
        <v>34</v>
      </c>
      <c r="I37">
        <v>38673.299308851143</v>
      </c>
    </row>
    <row r="38" spans="8:9" x14ac:dyDescent="0.3">
      <c r="H38">
        <v>35</v>
      </c>
      <c r="I38">
        <v>40919.205271012128</v>
      </c>
    </row>
    <row r="39" spans="8:9" x14ac:dyDescent="0.3">
      <c r="H39">
        <v>36</v>
      </c>
      <c r="I39">
        <v>-41771.613928295163</v>
      </c>
    </row>
    <row r="40" spans="8:9" x14ac:dyDescent="0.3">
      <c r="H40">
        <v>37</v>
      </c>
      <c r="I40">
        <v>-1793.3828874381143</v>
      </c>
    </row>
    <row r="41" spans="8:9" x14ac:dyDescent="0.3">
      <c r="H41">
        <v>38</v>
      </c>
      <c r="I41">
        <v>-12524.655309561</v>
      </c>
    </row>
    <row r="42" spans="8:9" x14ac:dyDescent="0.3">
      <c r="H42">
        <v>39</v>
      </c>
      <c r="I42">
        <v>110551.18101789287</v>
      </c>
    </row>
    <row r="43" spans="8:9" x14ac:dyDescent="0.3">
      <c r="H43">
        <v>40</v>
      </c>
      <c r="I43">
        <v>30802.074148994172</v>
      </c>
    </row>
    <row r="44" spans="8:9" x14ac:dyDescent="0.3">
      <c r="H44">
        <v>41</v>
      </c>
      <c r="I44">
        <v>101077.79010951222</v>
      </c>
    </row>
    <row r="45" spans="8:9" x14ac:dyDescent="0.3">
      <c r="H45">
        <v>42</v>
      </c>
      <c r="I45">
        <v>66032.594400608796</v>
      </c>
    </row>
    <row r="46" spans="8:9" x14ac:dyDescent="0.3">
      <c r="H46">
        <v>43</v>
      </c>
      <c r="I46">
        <v>29610.792256941786</v>
      </c>
    </row>
    <row r="47" spans="8:9" x14ac:dyDescent="0.3">
      <c r="H47">
        <v>44</v>
      </c>
      <c r="I47">
        <v>21887.713904429984</v>
      </c>
    </row>
    <row r="48" spans="8:9" x14ac:dyDescent="0.3">
      <c r="H48">
        <v>45</v>
      </c>
      <c r="I48">
        <v>57467.338875170492</v>
      </c>
    </row>
    <row r="49" spans="8:9" x14ac:dyDescent="0.3">
      <c r="H49">
        <v>46</v>
      </c>
      <c r="I49">
        <v>122593.67917819627</v>
      </c>
    </row>
    <row r="50" spans="8:9" x14ac:dyDescent="0.3">
      <c r="H50">
        <v>47</v>
      </c>
      <c r="I50">
        <v>-55054.641466501867</v>
      </c>
    </row>
    <row r="51" spans="8:9" x14ac:dyDescent="0.3">
      <c r="H51">
        <v>48</v>
      </c>
      <c r="I51">
        <v>13923.076521524519</v>
      </c>
    </row>
    <row r="52" spans="8:9" x14ac:dyDescent="0.3">
      <c r="H52">
        <v>49</v>
      </c>
      <c r="I52">
        <v>18119.617041517806</v>
      </c>
    </row>
    <row r="53" spans="8:9" x14ac:dyDescent="0.3">
      <c r="H53">
        <v>50</v>
      </c>
      <c r="I53">
        <v>-3304.8131647895789</v>
      </c>
    </row>
    <row r="54" spans="8:9" x14ac:dyDescent="0.3">
      <c r="H54">
        <v>51</v>
      </c>
      <c r="I54">
        <v>-1848.2454256961646</v>
      </c>
    </row>
    <row r="55" spans="8:9" x14ac:dyDescent="0.3">
      <c r="H55">
        <v>52</v>
      </c>
      <c r="I55">
        <v>62572.651887379456</v>
      </c>
    </row>
    <row r="56" spans="8:9" x14ac:dyDescent="0.3">
      <c r="H56">
        <v>53</v>
      </c>
      <c r="I56">
        <v>39813.834176191813</v>
      </c>
    </row>
    <row r="57" spans="8:9" x14ac:dyDescent="0.3">
      <c r="H57">
        <v>54</v>
      </c>
      <c r="I57">
        <v>43550.499416186925</v>
      </c>
    </row>
    <row r="58" spans="8:9" x14ac:dyDescent="0.3">
      <c r="H58">
        <v>55</v>
      </c>
      <c r="I58">
        <v>107246.64473230673</v>
      </c>
    </row>
    <row r="59" spans="8:9" x14ac:dyDescent="0.3">
      <c r="H59">
        <v>56</v>
      </c>
      <c r="I59">
        <v>54469.421543857738</v>
      </c>
    </row>
    <row r="60" spans="8:9" x14ac:dyDescent="0.3">
      <c r="H60">
        <v>57</v>
      </c>
      <c r="I60">
        <v>91429.392817703469</v>
      </c>
    </row>
    <row r="61" spans="8:9" x14ac:dyDescent="0.3">
      <c r="H61">
        <v>58</v>
      </c>
      <c r="I61">
        <v>49265.745406086149</v>
      </c>
    </row>
    <row r="62" spans="8:9" x14ac:dyDescent="0.3">
      <c r="H62">
        <v>59</v>
      </c>
      <c r="I62">
        <v>106117.48943171126</v>
      </c>
    </row>
    <row r="63" spans="8:9" x14ac:dyDescent="0.3">
      <c r="H63">
        <v>60</v>
      </c>
      <c r="I63">
        <v>8310.3105094728526</v>
      </c>
    </row>
    <row r="64" spans="8:9" x14ac:dyDescent="0.3">
      <c r="H64">
        <v>61</v>
      </c>
      <c r="I64">
        <v>-2032.9035334698274</v>
      </c>
    </row>
    <row r="65" spans="8:9" x14ac:dyDescent="0.3">
      <c r="H65">
        <v>62</v>
      </c>
      <c r="I65">
        <v>106487.67329146137</v>
      </c>
    </row>
    <row r="66" spans="8:9" x14ac:dyDescent="0.3">
      <c r="H66">
        <v>63</v>
      </c>
      <c r="I66">
        <v>85146.152997280224</v>
      </c>
    </row>
    <row r="67" spans="8:9" x14ac:dyDescent="0.3">
      <c r="H67">
        <v>64</v>
      </c>
      <c r="I67">
        <v>-81452.424356737858</v>
      </c>
    </row>
    <row r="68" spans="8:9" x14ac:dyDescent="0.3">
      <c r="H68">
        <v>65</v>
      </c>
      <c r="I68">
        <v>25957.188677014157</v>
      </c>
    </row>
    <row r="69" spans="8:9" x14ac:dyDescent="0.3">
      <c r="H69">
        <v>66</v>
      </c>
      <c r="I69">
        <v>-58143.542040433444</v>
      </c>
    </row>
    <row r="70" spans="8:9" x14ac:dyDescent="0.3">
      <c r="H70">
        <v>67</v>
      </c>
      <c r="I70">
        <v>23474.198748544819</v>
      </c>
    </row>
    <row r="71" spans="8:9" x14ac:dyDescent="0.3">
      <c r="H71">
        <v>68</v>
      </c>
      <c r="I71">
        <v>62422.52665746928</v>
      </c>
    </row>
    <row r="72" spans="8:9" x14ac:dyDescent="0.3">
      <c r="H72">
        <v>69</v>
      </c>
      <c r="I72">
        <v>58431.005662231983</v>
      </c>
    </row>
    <row r="73" spans="8:9" x14ac:dyDescent="0.3">
      <c r="H73">
        <v>70</v>
      </c>
      <c r="I73">
        <v>67304.682133932656</v>
      </c>
    </row>
    <row r="74" spans="8:9" x14ac:dyDescent="0.3">
      <c r="H74">
        <v>71</v>
      </c>
      <c r="I74">
        <v>76085.004950916089</v>
      </c>
    </row>
    <row r="75" spans="8:9" x14ac:dyDescent="0.3">
      <c r="H75">
        <v>72</v>
      </c>
      <c r="I75">
        <v>35777.003055346839</v>
      </c>
    </row>
    <row r="76" spans="8:9" x14ac:dyDescent="0.3">
      <c r="H76">
        <v>73</v>
      </c>
      <c r="I76">
        <v>61040.096030389948</v>
      </c>
    </row>
    <row r="77" spans="8:9" x14ac:dyDescent="0.3">
      <c r="H77">
        <v>74</v>
      </c>
      <c r="I77">
        <v>29888.627619700375</v>
      </c>
    </row>
    <row r="78" spans="8:9" x14ac:dyDescent="0.3">
      <c r="H78">
        <v>75</v>
      </c>
      <c r="I78">
        <v>32445.151820474639</v>
      </c>
    </row>
    <row r="79" spans="8:9" x14ac:dyDescent="0.3">
      <c r="H79">
        <v>76</v>
      </c>
      <c r="I79">
        <v>-25839.392530106852</v>
      </c>
    </row>
    <row r="80" spans="8:9" x14ac:dyDescent="0.3">
      <c r="H80">
        <v>77</v>
      </c>
      <c r="I80">
        <v>33271.546754538635</v>
      </c>
    </row>
    <row r="81" spans="8:9" x14ac:dyDescent="0.3">
      <c r="H81">
        <v>78</v>
      </c>
      <c r="I81">
        <v>17706.275486312807</v>
      </c>
    </row>
    <row r="82" spans="8:9" x14ac:dyDescent="0.3">
      <c r="H82">
        <v>79</v>
      </c>
      <c r="I82">
        <v>16392.715745321068</v>
      </c>
    </row>
    <row r="83" spans="8:9" x14ac:dyDescent="0.3">
      <c r="H83">
        <v>80</v>
      </c>
      <c r="I83">
        <v>64562.020864829363</v>
      </c>
    </row>
    <row r="84" spans="8:9" x14ac:dyDescent="0.3">
      <c r="H84">
        <v>81</v>
      </c>
      <c r="I84">
        <v>19660.738368726496</v>
      </c>
    </row>
    <row r="85" spans="8:9" x14ac:dyDescent="0.3">
      <c r="H85">
        <v>82</v>
      </c>
      <c r="I85">
        <v>38677.954084878278</v>
      </c>
    </row>
    <row r="86" spans="8:9" x14ac:dyDescent="0.3">
      <c r="H86">
        <v>83</v>
      </c>
      <c r="I86">
        <v>75292.783793268449</v>
      </c>
    </row>
    <row r="87" spans="8:9" x14ac:dyDescent="0.3">
      <c r="H87">
        <v>84</v>
      </c>
      <c r="I87">
        <v>41616.124214118536</v>
      </c>
    </row>
    <row r="88" spans="8:9" x14ac:dyDescent="0.3">
      <c r="H88">
        <v>85</v>
      </c>
      <c r="I88">
        <v>78205.428476709232</v>
      </c>
    </row>
    <row r="89" spans="8:9" x14ac:dyDescent="0.3">
      <c r="H89">
        <v>86</v>
      </c>
      <c r="I89">
        <v>84294.238553039206</v>
      </c>
    </row>
    <row r="90" spans="8:9" x14ac:dyDescent="0.3">
      <c r="H90">
        <v>87</v>
      </c>
      <c r="I90">
        <v>-48257.664956343273</v>
      </c>
    </row>
    <row r="91" spans="8:9" x14ac:dyDescent="0.3">
      <c r="H91">
        <v>88</v>
      </c>
      <c r="I91">
        <v>-4670.8516836881463</v>
      </c>
    </row>
    <row r="92" spans="8:9" x14ac:dyDescent="0.3">
      <c r="H92">
        <v>89</v>
      </c>
      <c r="I92">
        <v>35943.408899584465</v>
      </c>
    </row>
    <row r="93" spans="8:9" x14ac:dyDescent="0.3">
      <c r="H93">
        <v>90</v>
      </c>
      <c r="I93">
        <v>55886.076203708784</v>
      </c>
    </row>
    <row r="94" spans="8:9" x14ac:dyDescent="0.3">
      <c r="H94">
        <v>91</v>
      </c>
      <c r="I94">
        <v>-33795.582972065022</v>
      </c>
    </row>
    <row r="95" spans="8:9" x14ac:dyDescent="0.3">
      <c r="H95">
        <v>92</v>
      </c>
      <c r="I95">
        <v>35427.273487100814</v>
      </c>
    </row>
    <row r="96" spans="8:9" x14ac:dyDescent="0.3">
      <c r="H96">
        <v>93</v>
      </c>
      <c r="I96">
        <v>38758.4115980434</v>
      </c>
    </row>
    <row r="97" spans="8:9" x14ac:dyDescent="0.3">
      <c r="H97">
        <v>94</v>
      </c>
      <c r="I97">
        <v>27135.978669027871</v>
      </c>
    </row>
    <row r="98" spans="8:9" x14ac:dyDescent="0.3">
      <c r="H98">
        <v>95</v>
      </c>
      <c r="I98">
        <v>28281.817192064191</v>
      </c>
    </row>
    <row r="99" spans="8:9" x14ac:dyDescent="0.3">
      <c r="H99">
        <v>96</v>
      </c>
      <c r="I99">
        <v>67102.710264390189</v>
      </c>
    </row>
    <row r="100" spans="8:9" x14ac:dyDescent="0.3">
      <c r="H100">
        <v>97</v>
      </c>
      <c r="I100">
        <v>7334.7424793198006</v>
      </c>
    </row>
    <row r="101" spans="8:9" x14ac:dyDescent="0.3">
      <c r="H101">
        <v>98</v>
      </c>
      <c r="I101">
        <v>22669.646337662969</v>
      </c>
    </row>
    <row r="102" spans="8:9" x14ac:dyDescent="0.3">
      <c r="H102">
        <v>99</v>
      </c>
      <c r="I102">
        <v>48615.664713541453</v>
      </c>
    </row>
    <row r="103" spans="8:9" x14ac:dyDescent="0.3">
      <c r="H103">
        <v>100</v>
      </c>
      <c r="I103">
        <v>-26925.989248995524</v>
      </c>
    </row>
    <row r="104" spans="8:9" x14ac:dyDescent="0.3">
      <c r="H104">
        <v>101</v>
      </c>
      <c r="I104">
        <v>68252.919927698124</v>
      </c>
    </row>
    <row r="105" spans="8:9" x14ac:dyDescent="0.3">
      <c r="H105">
        <v>102</v>
      </c>
      <c r="I105">
        <v>-30760.840643885662</v>
      </c>
    </row>
    <row r="106" spans="8:9" x14ac:dyDescent="0.3">
      <c r="H106">
        <v>103</v>
      </c>
      <c r="I106">
        <v>12863.105581023876</v>
      </c>
    </row>
    <row r="107" spans="8:9" x14ac:dyDescent="0.3">
      <c r="H107">
        <v>104</v>
      </c>
      <c r="I107">
        <v>-22237.612542328221</v>
      </c>
    </row>
    <row r="108" spans="8:9" x14ac:dyDescent="0.3">
      <c r="H108">
        <v>105</v>
      </c>
      <c r="I108">
        <v>85822.412372731633</v>
      </c>
    </row>
    <row r="109" spans="8:9" x14ac:dyDescent="0.3">
      <c r="H109">
        <v>106</v>
      </c>
      <c r="I109">
        <v>38658.627422609978</v>
      </c>
    </row>
    <row r="110" spans="8:9" x14ac:dyDescent="0.3">
      <c r="H110">
        <v>107</v>
      </c>
      <c r="I110">
        <v>39650.449390222871</v>
      </c>
    </row>
    <row r="111" spans="8:9" x14ac:dyDescent="0.3">
      <c r="H111">
        <v>108</v>
      </c>
      <c r="I111">
        <v>31500.220872425256</v>
      </c>
    </row>
    <row r="112" spans="8:9" x14ac:dyDescent="0.3">
      <c r="H112">
        <v>109</v>
      </c>
      <c r="I112">
        <v>26726.204279196783</v>
      </c>
    </row>
    <row r="113" spans="8:9" x14ac:dyDescent="0.3">
      <c r="H113">
        <v>110</v>
      </c>
      <c r="I113">
        <v>1929.9981483884621</v>
      </c>
    </row>
    <row r="114" spans="8:9" x14ac:dyDescent="0.3">
      <c r="H114">
        <v>111</v>
      </c>
      <c r="I114">
        <v>-16864.98591979756</v>
      </c>
    </row>
    <row r="115" spans="8:9" x14ac:dyDescent="0.3">
      <c r="H115">
        <v>112</v>
      </c>
      <c r="I115">
        <v>54123.266678787681</v>
      </c>
    </row>
    <row r="116" spans="8:9" x14ac:dyDescent="0.3">
      <c r="H116">
        <v>113</v>
      </c>
      <c r="I116">
        <v>52467.826306739589</v>
      </c>
    </row>
    <row r="117" spans="8:9" x14ac:dyDescent="0.3">
      <c r="H117">
        <v>114</v>
      </c>
      <c r="I117">
        <v>19634.959942203495</v>
      </c>
    </row>
    <row r="118" spans="8:9" x14ac:dyDescent="0.3">
      <c r="H118">
        <v>115</v>
      </c>
      <c r="I118">
        <v>58464.056648251673</v>
      </c>
    </row>
    <row r="119" spans="8:9" x14ac:dyDescent="0.3">
      <c r="H119">
        <v>116</v>
      </c>
      <c r="I119">
        <v>59257.071869192077</v>
      </c>
    </row>
    <row r="120" spans="8:9" x14ac:dyDescent="0.3">
      <c r="H120">
        <v>117</v>
      </c>
      <c r="I120">
        <v>56347.098480487402</v>
      </c>
    </row>
    <row r="121" spans="8:9" x14ac:dyDescent="0.3">
      <c r="H121">
        <v>118</v>
      </c>
      <c r="I121">
        <v>21242.592077217152</v>
      </c>
    </row>
    <row r="122" spans="8:9" x14ac:dyDescent="0.3">
      <c r="H122">
        <v>119</v>
      </c>
      <c r="I122">
        <v>126408.44147218156</v>
      </c>
    </row>
    <row r="123" spans="8:9" x14ac:dyDescent="0.3">
      <c r="H123">
        <v>120</v>
      </c>
      <c r="I123">
        <v>-47414.688875787513</v>
      </c>
    </row>
    <row r="124" spans="8:9" x14ac:dyDescent="0.3">
      <c r="H124">
        <v>121</v>
      </c>
      <c r="I124">
        <v>68260.420014358562</v>
      </c>
    </row>
    <row r="125" spans="8:9" x14ac:dyDescent="0.3">
      <c r="H125">
        <v>122</v>
      </c>
      <c r="I125">
        <v>103500.98084961579</v>
      </c>
    </row>
    <row r="126" spans="8:9" x14ac:dyDescent="0.3">
      <c r="H126">
        <v>123</v>
      </c>
      <c r="I126">
        <v>-1634.0514618386223</v>
      </c>
    </row>
    <row r="127" spans="8:9" x14ac:dyDescent="0.3">
      <c r="H127">
        <v>124</v>
      </c>
      <c r="I127">
        <v>23680.174904049898</v>
      </c>
    </row>
    <row r="128" spans="8:9" x14ac:dyDescent="0.3">
      <c r="H128">
        <v>125</v>
      </c>
      <c r="I128">
        <v>19583.130093076979</v>
      </c>
    </row>
    <row r="129" spans="8:9" x14ac:dyDescent="0.3">
      <c r="H129">
        <v>126</v>
      </c>
      <c r="I129">
        <v>61232.616720976366</v>
      </c>
    </row>
    <row r="130" spans="8:9" x14ac:dyDescent="0.3">
      <c r="H130">
        <v>127</v>
      </c>
      <c r="I130">
        <v>46207.087415158196</v>
      </c>
    </row>
    <row r="131" spans="8:9" x14ac:dyDescent="0.3">
      <c r="H131">
        <v>128</v>
      </c>
      <c r="I131">
        <v>46788.380862200574</v>
      </c>
    </row>
    <row r="132" spans="8:9" x14ac:dyDescent="0.3">
      <c r="H132">
        <v>129</v>
      </c>
      <c r="I132">
        <v>95620.481104317601</v>
      </c>
    </row>
    <row r="133" spans="8:9" x14ac:dyDescent="0.3">
      <c r="H133">
        <v>130</v>
      </c>
      <c r="I133">
        <v>49130.054228806344</v>
      </c>
    </row>
    <row r="134" spans="8:9" x14ac:dyDescent="0.3">
      <c r="H134">
        <v>131</v>
      </c>
      <c r="I134">
        <v>111475.25688397646</v>
      </c>
    </row>
    <row r="135" spans="8:9" x14ac:dyDescent="0.3">
      <c r="H135">
        <v>132</v>
      </c>
      <c r="I135">
        <v>69230.534233884886</v>
      </c>
    </row>
    <row r="136" spans="8:9" x14ac:dyDescent="0.3">
      <c r="H136">
        <v>133</v>
      </c>
      <c r="I136">
        <v>-53170.737158233474</v>
      </c>
    </row>
    <row r="137" spans="8:9" x14ac:dyDescent="0.3">
      <c r="H137">
        <v>134</v>
      </c>
      <c r="I137">
        <v>74062.655015445562</v>
      </c>
    </row>
    <row r="138" spans="8:9" x14ac:dyDescent="0.3">
      <c r="H138">
        <v>135</v>
      </c>
      <c r="I138">
        <v>74767.224040934816</v>
      </c>
    </row>
    <row r="139" spans="8:9" x14ac:dyDescent="0.3">
      <c r="H139">
        <v>136</v>
      </c>
      <c r="I139">
        <v>46787.471398482987</v>
      </c>
    </row>
    <row r="140" spans="8:9" x14ac:dyDescent="0.3">
      <c r="H140">
        <v>137</v>
      </c>
      <c r="I140">
        <v>43384.892471066414</v>
      </c>
    </row>
    <row r="141" spans="8:9" x14ac:dyDescent="0.3">
      <c r="H141">
        <v>138</v>
      </c>
      <c r="I141">
        <v>39631.78937684148</v>
      </c>
    </row>
    <row r="142" spans="8:9" x14ac:dyDescent="0.3">
      <c r="H142">
        <v>139</v>
      </c>
      <c r="I142">
        <v>90833.624520005265</v>
      </c>
    </row>
    <row r="143" spans="8:9" x14ac:dyDescent="0.3">
      <c r="H143">
        <v>140</v>
      </c>
      <c r="I143">
        <v>63041.853869338214</v>
      </c>
    </row>
    <row r="144" spans="8:9" x14ac:dyDescent="0.3">
      <c r="H144">
        <v>141</v>
      </c>
      <c r="I144">
        <v>-3653.1641231985559</v>
      </c>
    </row>
    <row r="145" spans="8:9" x14ac:dyDescent="0.3">
      <c r="H145">
        <v>142</v>
      </c>
      <c r="I145">
        <v>32250.840894365581</v>
      </c>
    </row>
    <row r="146" spans="8:9" x14ac:dyDescent="0.3">
      <c r="H146">
        <v>143</v>
      </c>
      <c r="I146">
        <v>69439.520330246902</v>
      </c>
    </row>
    <row r="147" spans="8:9" x14ac:dyDescent="0.3">
      <c r="H147">
        <v>144</v>
      </c>
      <c r="I147">
        <v>-21610.412636549096</v>
      </c>
    </row>
    <row r="148" spans="8:9" x14ac:dyDescent="0.3">
      <c r="H148">
        <v>145</v>
      </c>
      <c r="I148">
        <v>9393.6862595587445</v>
      </c>
    </row>
    <row r="149" spans="8:9" x14ac:dyDescent="0.3">
      <c r="H149">
        <v>146</v>
      </c>
      <c r="I149">
        <v>35473.163656867604</v>
      </c>
    </row>
    <row r="150" spans="8:9" x14ac:dyDescent="0.3">
      <c r="H150">
        <v>147</v>
      </c>
      <c r="I150">
        <v>4240.7403385356738</v>
      </c>
    </row>
    <row r="151" spans="8:9" x14ac:dyDescent="0.3">
      <c r="H151">
        <v>148</v>
      </c>
      <c r="I151">
        <v>47956.703283500785</v>
      </c>
    </row>
    <row r="152" spans="8:9" x14ac:dyDescent="0.3">
      <c r="H152">
        <v>149</v>
      </c>
      <c r="I152">
        <v>61137.853080740708</v>
      </c>
    </row>
    <row r="153" spans="8:9" x14ac:dyDescent="0.3">
      <c r="H153">
        <v>150</v>
      </c>
      <c r="I153">
        <v>50328.789286520769</v>
      </c>
    </row>
    <row r="154" spans="8:9" x14ac:dyDescent="0.3">
      <c r="H154">
        <v>151</v>
      </c>
      <c r="I154">
        <v>148754.0540057027</v>
      </c>
    </row>
    <row r="155" spans="8:9" x14ac:dyDescent="0.3">
      <c r="H155">
        <v>152</v>
      </c>
      <c r="I155">
        <v>73279.437893233408</v>
      </c>
    </row>
    <row r="156" spans="8:9" x14ac:dyDescent="0.3">
      <c r="H156">
        <v>153</v>
      </c>
      <c r="I156">
        <v>8239.9786699464021</v>
      </c>
    </row>
    <row r="157" spans="8:9" x14ac:dyDescent="0.3">
      <c r="H157">
        <v>154</v>
      </c>
      <c r="I157">
        <v>31301.52233381971</v>
      </c>
    </row>
    <row r="158" spans="8:9" x14ac:dyDescent="0.3">
      <c r="H158">
        <v>155</v>
      </c>
      <c r="I158">
        <v>43365.788852597208</v>
      </c>
    </row>
    <row r="159" spans="8:9" x14ac:dyDescent="0.3">
      <c r="H159">
        <v>156</v>
      </c>
      <c r="I159">
        <v>105346.31389836298</v>
      </c>
    </row>
    <row r="160" spans="8:9" x14ac:dyDescent="0.3">
      <c r="H160">
        <v>157</v>
      </c>
      <c r="I160">
        <v>108948.53814760341</v>
      </c>
    </row>
    <row r="161" spans="8:9" x14ac:dyDescent="0.3">
      <c r="H161">
        <v>158</v>
      </c>
      <c r="I161">
        <v>35313.477489518962</v>
      </c>
    </row>
    <row r="162" spans="8:9" x14ac:dyDescent="0.3">
      <c r="H162">
        <v>159</v>
      </c>
      <c r="I162">
        <v>111040.95916923255</v>
      </c>
    </row>
    <row r="163" spans="8:9" x14ac:dyDescent="0.3">
      <c r="H163">
        <v>160</v>
      </c>
      <c r="I163">
        <v>-15393.236974433064</v>
      </c>
    </row>
    <row r="164" spans="8:9" x14ac:dyDescent="0.3">
      <c r="H164">
        <v>161</v>
      </c>
      <c r="I164">
        <v>3025.8721782248176</v>
      </c>
    </row>
    <row r="165" spans="8:9" x14ac:dyDescent="0.3">
      <c r="H165">
        <v>162</v>
      </c>
      <c r="I165">
        <v>50265.769840854235</v>
      </c>
    </row>
    <row r="166" spans="8:9" x14ac:dyDescent="0.3">
      <c r="H166">
        <v>163</v>
      </c>
      <c r="I166">
        <v>65345.791206649243</v>
      </c>
    </row>
    <row r="167" spans="8:9" x14ac:dyDescent="0.3">
      <c r="H167">
        <v>164</v>
      </c>
      <c r="I167">
        <v>37509.755788164272</v>
      </c>
    </row>
    <row r="168" spans="8:9" x14ac:dyDescent="0.3">
      <c r="H168">
        <v>165</v>
      </c>
      <c r="I168">
        <v>22501.117125074408</v>
      </c>
    </row>
    <row r="169" spans="8:9" x14ac:dyDescent="0.3">
      <c r="H169">
        <v>166</v>
      </c>
      <c r="I169">
        <v>53631.259834871802</v>
      </c>
    </row>
    <row r="170" spans="8:9" x14ac:dyDescent="0.3">
      <c r="H170">
        <v>167</v>
      </c>
      <c r="I170">
        <v>68402.600182590497</v>
      </c>
    </row>
    <row r="171" spans="8:9" x14ac:dyDescent="0.3">
      <c r="H171">
        <v>168</v>
      </c>
      <c r="I171">
        <v>21899.718973620256</v>
      </c>
    </row>
    <row r="172" spans="8:9" x14ac:dyDescent="0.3">
      <c r="H172">
        <v>169</v>
      </c>
      <c r="I172">
        <v>21013.713114613347</v>
      </c>
    </row>
    <row r="173" spans="8:9" x14ac:dyDescent="0.3">
      <c r="H173">
        <v>170</v>
      </c>
      <c r="I173">
        <v>72366.374351313061</v>
      </c>
    </row>
    <row r="174" spans="8:9" x14ac:dyDescent="0.3">
      <c r="H174">
        <v>171</v>
      </c>
      <c r="I174">
        <v>61454.117542066655</v>
      </c>
    </row>
    <row r="175" spans="8:9" x14ac:dyDescent="0.3">
      <c r="H175">
        <v>172</v>
      </c>
      <c r="I175">
        <v>-36253.309882240341</v>
      </c>
    </row>
    <row r="176" spans="8:9" x14ac:dyDescent="0.3">
      <c r="H176">
        <v>173</v>
      </c>
      <c r="I176">
        <v>17619.934353286648</v>
      </c>
    </row>
    <row r="177" spans="8:9" x14ac:dyDescent="0.3">
      <c r="H177">
        <v>174</v>
      </c>
      <c r="I177">
        <v>56045.528385052283</v>
      </c>
    </row>
    <row r="178" spans="8:9" x14ac:dyDescent="0.3">
      <c r="H178">
        <v>175</v>
      </c>
      <c r="I178">
        <v>45773.802386827956</v>
      </c>
    </row>
    <row r="179" spans="8:9" x14ac:dyDescent="0.3">
      <c r="H179">
        <v>176</v>
      </c>
      <c r="I179">
        <v>6407.4513570820563</v>
      </c>
    </row>
    <row r="180" spans="8:9" x14ac:dyDescent="0.3">
      <c r="H180">
        <v>177</v>
      </c>
      <c r="I180">
        <v>-60614.722803002893</v>
      </c>
    </row>
    <row r="181" spans="8:9" x14ac:dyDescent="0.3">
      <c r="H181">
        <v>178</v>
      </c>
      <c r="I181">
        <v>37242.956899151526</v>
      </c>
    </row>
    <row r="182" spans="8:9" x14ac:dyDescent="0.3">
      <c r="H182">
        <v>179</v>
      </c>
      <c r="I182">
        <v>70697.810150248959</v>
      </c>
    </row>
    <row r="183" spans="8:9" x14ac:dyDescent="0.3">
      <c r="H183">
        <v>180</v>
      </c>
      <c r="I183">
        <v>62580.440954452279</v>
      </c>
    </row>
    <row r="184" spans="8:9" x14ac:dyDescent="0.3">
      <c r="H184">
        <v>181</v>
      </c>
      <c r="I184">
        <v>17652.233170261723</v>
      </c>
    </row>
    <row r="185" spans="8:9" x14ac:dyDescent="0.3">
      <c r="H185">
        <v>182</v>
      </c>
      <c r="I185">
        <v>58655.057461192147</v>
      </c>
    </row>
    <row r="186" spans="8:9" x14ac:dyDescent="0.3">
      <c r="H186">
        <v>183</v>
      </c>
      <c r="I186">
        <v>78207.360902213637</v>
      </c>
    </row>
    <row r="187" spans="8:9" x14ac:dyDescent="0.3">
      <c r="H187">
        <v>184</v>
      </c>
      <c r="I187">
        <v>94999.370685893111</v>
      </c>
    </row>
    <row r="188" spans="8:9" x14ac:dyDescent="0.3">
      <c r="H188">
        <v>185</v>
      </c>
      <c r="I188">
        <v>4460.7837267323484</v>
      </c>
    </row>
    <row r="189" spans="8:9" x14ac:dyDescent="0.3">
      <c r="H189">
        <v>186</v>
      </c>
      <c r="I189">
        <v>58501.292398593345</v>
      </c>
    </row>
    <row r="190" spans="8:9" x14ac:dyDescent="0.3">
      <c r="H190">
        <v>187</v>
      </c>
      <c r="I190">
        <v>106202.10475669736</v>
      </c>
    </row>
    <row r="191" spans="8:9" x14ac:dyDescent="0.3">
      <c r="H191">
        <v>188</v>
      </c>
      <c r="I191">
        <v>22603.118531600252</v>
      </c>
    </row>
    <row r="192" spans="8:9" x14ac:dyDescent="0.3">
      <c r="H192">
        <v>189</v>
      </c>
      <c r="I192">
        <v>68462.532439959774</v>
      </c>
    </row>
    <row r="193" spans="8:9" x14ac:dyDescent="0.3">
      <c r="H193">
        <v>190</v>
      </c>
      <c r="I193">
        <v>86976.731004829169</v>
      </c>
    </row>
    <row r="194" spans="8:9" x14ac:dyDescent="0.3">
      <c r="H194">
        <v>191</v>
      </c>
      <c r="I194">
        <v>49413.205483265396</v>
      </c>
    </row>
    <row r="195" spans="8:9" x14ac:dyDescent="0.3">
      <c r="H195">
        <v>192</v>
      </c>
      <c r="I195">
        <v>2237.6790962420637</v>
      </c>
    </row>
    <row r="196" spans="8:9" x14ac:dyDescent="0.3">
      <c r="H196">
        <v>193</v>
      </c>
      <c r="I196">
        <v>13619.541378115566</v>
      </c>
    </row>
    <row r="197" spans="8:9" x14ac:dyDescent="0.3">
      <c r="H197">
        <v>194</v>
      </c>
      <c r="I197">
        <v>-8167.6596327048028</v>
      </c>
    </row>
    <row r="198" spans="8:9" x14ac:dyDescent="0.3">
      <c r="H198">
        <v>195</v>
      </c>
      <c r="I198">
        <v>-27024.943023266154</v>
      </c>
    </row>
    <row r="199" spans="8:9" x14ac:dyDescent="0.3">
      <c r="H199">
        <v>196</v>
      </c>
      <c r="I199">
        <v>-2853.3599554343382</v>
      </c>
    </row>
    <row r="200" spans="8:9" x14ac:dyDescent="0.3">
      <c r="H200">
        <v>197</v>
      </c>
      <c r="I200">
        <v>38212.625638451311</v>
      </c>
    </row>
    <row r="201" spans="8:9" x14ac:dyDescent="0.3">
      <c r="H201">
        <v>198</v>
      </c>
      <c r="I201">
        <v>-30573.015868996619</v>
      </c>
    </row>
    <row r="202" spans="8:9" x14ac:dyDescent="0.3">
      <c r="H202">
        <v>199</v>
      </c>
      <c r="I202">
        <v>45806.863914227375</v>
      </c>
    </row>
    <row r="203" spans="8:9" x14ac:dyDescent="0.3">
      <c r="H203">
        <v>200</v>
      </c>
      <c r="I203">
        <v>2277.0898561013746</v>
      </c>
    </row>
    <row r="204" spans="8:9" x14ac:dyDescent="0.3">
      <c r="H204">
        <v>201</v>
      </c>
      <c r="I204">
        <v>71107.318020211751</v>
      </c>
    </row>
    <row r="205" spans="8:9" x14ac:dyDescent="0.3">
      <c r="H205">
        <v>202</v>
      </c>
      <c r="I205">
        <v>-29939.179924528027</v>
      </c>
    </row>
    <row r="206" spans="8:9" x14ac:dyDescent="0.3">
      <c r="H206">
        <v>203</v>
      </c>
      <c r="I206">
        <v>32734.245858870927</v>
      </c>
    </row>
    <row r="207" spans="8:9" x14ac:dyDescent="0.3">
      <c r="H207">
        <v>204</v>
      </c>
      <c r="I207">
        <v>-67093.889385295595</v>
      </c>
    </row>
    <row r="208" spans="8:9" x14ac:dyDescent="0.3">
      <c r="H208">
        <v>205</v>
      </c>
      <c r="I208">
        <v>65924.155295610079</v>
      </c>
    </row>
    <row r="209" spans="8:9" x14ac:dyDescent="0.3">
      <c r="H209">
        <v>206</v>
      </c>
      <c r="I209">
        <v>60039.864982313506</v>
      </c>
    </row>
    <row r="210" spans="8:9" x14ac:dyDescent="0.3">
      <c r="H210">
        <v>207</v>
      </c>
      <c r="I210">
        <v>32427.474227772182</v>
      </c>
    </row>
    <row r="211" spans="8:9" x14ac:dyDescent="0.3">
      <c r="H211">
        <v>208</v>
      </c>
      <c r="I211">
        <v>-69359.419087875212</v>
      </c>
    </row>
    <row r="212" spans="8:9" x14ac:dyDescent="0.3">
      <c r="H212">
        <v>209</v>
      </c>
      <c r="I212">
        <v>39431.594325798855</v>
      </c>
    </row>
    <row r="213" spans="8:9" x14ac:dyDescent="0.3">
      <c r="H213">
        <v>210</v>
      </c>
      <c r="I213">
        <v>97573.716787667872</v>
      </c>
    </row>
    <row r="214" spans="8:9" x14ac:dyDescent="0.3">
      <c r="H214">
        <v>211</v>
      </c>
      <c r="I214">
        <v>56543.223890960711</v>
      </c>
    </row>
    <row r="215" spans="8:9" x14ac:dyDescent="0.3">
      <c r="H215">
        <v>212</v>
      </c>
      <c r="I215">
        <v>38627.478056801701</v>
      </c>
    </row>
    <row r="216" spans="8:9" x14ac:dyDescent="0.3">
      <c r="H216">
        <v>213</v>
      </c>
      <c r="I216">
        <v>2833.6792163844511</v>
      </c>
    </row>
    <row r="217" spans="8:9" x14ac:dyDescent="0.3">
      <c r="H217">
        <v>214</v>
      </c>
      <c r="I217">
        <v>4149.7481596868747</v>
      </c>
    </row>
    <row r="218" spans="8:9" x14ac:dyDescent="0.3">
      <c r="H218">
        <v>215</v>
      </c>
      <c r="I218">
        <v>41794.029602585979</v>
      </c>
    </row>
    <row r="219" spans="8:9" x14ac:dyDescent="0.3">
      <c r="H219">
        <v>216</v>
      </c>
      <c r="I219">
        <v>53417.541013982205</v>
      </c>
    </row>
    <row r="220" spans="8:9" x14ac:dyDescent="0.3">
      <c r="H220">
        <v>217</v>
      </c>
      <c r="I220">
        <v>-53225.753541155747</v>
      </c>
    </row>
    <row r="221" spans="8:9" x14ac:dyDescent="0.3">
      <c r="H221">
        <v>218</v>
      </c>
      <c r="I221">
        <v>15647.335111257926</v>
      </c>
    </row>
    <row r="222" spans="8:9" x14ac:dyDescent="0.3">
      <c r="H222">
        <v>219</v>
      </c>
      <c r="I222">
        <v>102621.93969941295</v>
      </c>
    </row>
    <row r="223" spans="8:9" x14ac:dyDescent="0.3">
      <c r="H223">
        <v>220</v>
      </c>
      <c r="I223">
        <v>-4341.7372311174695</v>
      </c>
    </row>
    <row r="224" spans="8:9" x14ac:dyDescent="0.3">
      <c r="H224">
        <v>221</v>
      </c>
      <c r="I224">
        <v>44975.971141986432</v>
      </c>
    </row>
    <row r="225" spans="8:9" x14ac:dyDescent="0.3">
      <c r="H225">
        <v>222</v>
      </c>
      <c r="I225">
        <v>59009.532363292921</v>
      </c>
    </row>
    <row r="226" spans="8:9" x14ac:dyDescent="0.3">
      <c r="H226">
        <v>223</v>
      </c>
      <c r="I226">
        <v>-27985.551477654226</v>
      </c>
    </row>
    <row r="227" spans="8:9" x14ac:dyDescent="0.3">
      <c r="H227">
        <v>224</v>
      </c>
      <c r="I227">
        <v>37172.091685847932</v>
      </c>
    </row>
    <row r="228" spans="8:9" x14ac:dyDescent="0.3">
      <c r="H228">
        <v>225</v>
      </c>
      <c r="I228">
        <v>65931.427553151938</v>
      </c>
    </row>
    <row r="229" spans="8:9" x14ac:dyDescent="0.3">
      <c r="H229">
        <v>226</v>
      </c>
      <c r="I229">
        <v>90529.116462305828</v>
      </c>
    </row>
    <row r="230" spans="8:9" x14ac:dyDescent="0.3">
      <c r="H230">
        <v>227</v>
      </c>
      <c r="I230">
        <v>39910.481624973414</v>
      </c>
    </row>
    <row r="231" spans="8:9" x14ac:dyDescent="0.3">
      <c r="H231">
        <v>228</v>
      </c>
      <c r="I231">
        <v>14995.389214572569</v>
      </c>
    </row>
    <row r="232" spans="8:9" x14ac:dyDescent="0.3">
      <c r="H232">
        <v>229</v>
      </c>
      <c r="I232">
        <v>102475.5001869741</v>
      </c>
    </row>
    <row r="233" spans="8:9" x14ac:dyDescent="0.3">
      <c r="H233">
        <v>230</v>
      </c>
      <c r="I233">
        <v>110726.07329604692</v>
      </c>
    </row>
    <row r="234" spans="8:9" x14ac:dyDescent="0.3">
      <c r="H234">
        <v>231</v>
      </c>
      <c r="I234">
        <v>22816.051232571059</v>
      </c>
    </row>
    <row r="235" spans="8:9" x14ac:dyDescent="0.3">
      <c r="H235">
        <v>232</v>
      </c>
      <c r="I235">
        <v>-23270.826316385006</v>
      </c>
    </row>
    <row r="236" spans="8:9" x14ac:dyDescent="0.3">
      <c r="H236">
        <v>233</v>
      </c>
      <c r="I236">
        <v>-15181.378952200932</v>
      </c>
    </row>
    <row r="237" spans="8:9" x14ac:dyDescent="0.3">
      <c r="H237">
        <v>234</v>
      </c>
      <c r="I237">
        <v>-12472.325826920191</v>
      </c>
    </row>
    <row r="238" spans="8:9" x14ac:dyDescent="0.3">
      <c r="H238">
        <v>235</v>
      </c>
      <c r="I238">
        <v>-12616.265225519717</v>
      </c>
    </row>
    <row r="239" spans="8:9" x14ac:dyDescent="0.3">
      <c r="H239">
        <v>236</v>
      </c>
      <c r="I239">
        <v>65378.294027334981</v>
      </c>
    </row>
    <row r="240" spans="8:9" x14ac:dyDescent="0.3">
      <c r="H240">
        <v>237</v>
      </c>
      <c r="I240">
        <v>12971.829315338473</v>
      </c>
    </row>
    <row r="241" spans="8:9" x14ac:dyDescent="0.3">
      <c r="H241">
        <v>238</v>
      </c>
      <c r="I241">
        <v>79388.801101304241</v>
      </c>
    </row>
    <row r="242" spans="8:9" x14ac:dyDescent="0.3">
      <c r="H242">
        <v>239</v>
      </c>
      <c r="I242">
        <v>21701.185935762216</v>
      </c>
    </row>
    <row r="243" spans="8:9" x14ac:dyDescent="0.3">
      <c r="H243">
        <v>240</v>
      </c>
      <c r="I243">
        <v>35090.979183929769</v>
      </c>
    </row>
    <row r="244" spans="8:9" x14ac:dyDescent="0.3">
      <c r="H244">
        <v>241</v>
      </c>
      <c r="I244">
        <v>-25580.268697975116</v>
      </c>
    </row>
    <row r="245" spans="8:9" x14ac:dyDescent="0.3">
      <c r="H245">
        <v>242</v>
      </c>
      <c r="I245">
        <v>-4737.1744197316584</v>
      </c>
    </row>
    <row r="246" spans="8:9" x14ac:dyDescent="0.3">
      <c r="H246">
        <v>243</v>
      </c>
      <c r="I246">
        <v>-18817.164426049523</v>
      </c>
    </row>
    <row r="247" spans="8:9" x14ac:dyDescent="0.3">
      <c r="H247">
        <v>244</v>
      </c>
      <c r="I247">
        <v>113248.41902878953</v>
      </c>
    </row>
    <row r="248" spans="8:9" x14ac:dyDescent="0.3">
      <c r="H248">
        <v>245</v>
      </c>
      <c r="I248">
        <v>33784.55002645457</v>
      </c>
    </row>
    <row r="249" spans="8:9" x14ac:dyDescent="0.3">
      <c r="H249">
        <v>246</v>
      </c>
      <c r="I249">
        <v>34867.474351588302</v>
      </c>
    </row>
    <row r="250" spans="8:9" x14ac:dyDescent="0.3">
      <c r="H250">
        <v>247</v>
      </c>
      <c r="I250">
        <v>105087.40162993773</v>
      </c>
    </row>
    <row r="251" spans="8:9" x14ac:dyDescent="0.3">
      <c r="H251">
        <v>248</v>
      </c>
      <c r="I251">
        <v>-12242.560160756722</v>
      </c>
    </row>
    <row r="252" spans="8:9" x14ac:dyDescent="0.3">
      <c r="H252">
        <v>249</v>
      </c>
      <c r="I252">
        <v>52096.946455683777</v>
      </c>
    </row>
    <row r="253" spans="8:9" x14ac:dyDescent="0.3">
      <c r="H253">
        <v>250</v>
      </c>
      <c r="I253">
        <v>25511.12314499951</v>
      </c>
    </row>
    <row r="254" spans="8:9" x14ac:dyDescent="0.3">
      <c r="H254">
        <v>251</v>
      </c>
      <c r="I254">
        <v>-636.43935666281322</v>
      </c>
    </row>
    <row r="255" spans="8:9" x14ac:dyDescent="0.3">
      <c r="H255">
        <v>252</v>
      </c>
      <c r="I255">
        <v>8641.103864058241</v>
      </c>
    </row>
    <row r="256" spans="8:9" x14ac:dyDescent="0.3">
      <c r="H256">
        <v>253</v>
      </c>
      <c r="I256">
        <v>50350.05975471776</v>
      </c>
    </row>
    <row r="257" spans="8:9" x14ac:dyDescent="0.3">
      <c r="H257">
        <v>254</v>
      </c>
      <c r="I257">
        <v>61514.384982666219</v>
      </c>
    </row>
    <row r="258" spans="8:9" x14ac:dyDescent="0.3">
      <c r="H258">
        <v>255</v>
      </c>
      <c r="I258">
        <v>88850.705588439072</v>
      </c>
    </row>
    <row r="259" spans="8:9" x14ac:dyDescent="0.3">
      <c r="H259">
        <v>256</v>
      </c>
      <c r="I259">
        <v>98177.119498058586</v>
      </c>
    </row>
    <row r="260" spans="8:9" x14ac:dyDescent="0.3">
      <c r="H260">
        <v>257</v>
      </c>
      <c r="I260">
        <v>64854.119357808304</v>
      </c>
    </row>
    <row r="261" spans="8:9" x14ac:dyDescent="0.3">
      <c r="H261">
        <v>258</v>
      </c>
      <c r="I261">
        <v>33893.800627931094</v>
      </c>
    </row>
    <row r="262" spans="8:9" x14ac:dyDescent="0.3">
      <c r="H262">
        <v>259</v>
      </c>
      <c r="I262">
        <v>-15536.609408676421</v>
      </c>
    </row>
    <row r="263" spans="8:9" x14ac:dyDescent="0.3">
      <c r="H263">
        <v>260</v>
      </c>
      <c r="I263">
        <v>10758.275849419704</v>
      </c>
    </row>
    <row r="264" spans="8:9" x14ac:dyDescent="0.3">
      <c r="H264">
        <v>261</v>
      </c>
      <c r="I264">
        <v>40723.926727832688</v>
      </c>
    </row>
    <row r="265" spans="8:9" x14ac:dyDescent="0.3">
      <c r="H265">
        <v>262</v>
      </c>
      <c r="I265">
        <v>12190.982781979023</v>
      </c>
    </row>
    <row r="266" spans="8:9" x14ac:dyDescent="0.3">
      <c r="H266">
        <v>263</v>
      </c>
      <c r="I266">
        <v>118777.83938429551</v>
      </c>
    </row>
    <row r="267" spans="8:9" x14ac:dyDescent="0.3">
      <c r="H267">
        <v>264</v>
      </c>
      <c r="I267">
        <v>35371.26996147832</v>
      </c>
    </row>
    <row r="268" spans="8:9" x14ac:dyDescent="0.3">
      <c r="H268">
        <v>265</v>
      </c>
      <c r="I268">
        <v>34444.93135507562</v>
      </c>
    </row>
    <row r="269" spans="8:9" x14ac:dyDescent="0.3">
      <c r="H269">
        <v>266</v>
      </c>
      <c r="I269">
        <v>10115.795968257167</v>
      </c>
    </row>
    <row r="270" spans="8:9" x14ac:dyDescent="0.3">
      <c r="H270">
        <v>267</v>
      </c>
      <c r="I270">
        <v>38127.718824997792</v>
      </c>
    </row>
    <row r="271" spans="8:9" x14ac:dyDescent="0.3">
      <c r="H271">
        <v>268</v>
      </c>
      <c r="I271">
        <v>63405.183181980901</v>
      </c>
    </row>
    <row r="272" spans="8:9" x14ac:dyDescent="0.3">
      <c r="H272">
        <v>269</v>
      </c>
      <c r="I272">
        <v>80022.155662292324</v>
      </c>
    </row>
    <row r="273" spans="8:9" x14ac:dyDescent="0.3">
      <c r="H273">
        <v>270</v>
      </c>
      <c r="I273">
        <v>74763.884328192871</v>
      </c>
    </row>
    <row r="274" spans="8:9" x14ac:dyDescent="0.3">
      <c r="H274">
        <v>271</v>
      </c>
      <c r="I274">
        <v>-8037.9295060082804</v>
      </c>
    </row>
    <row r="275" spans="8:9" x14ac:dyDescent="0.3">
      <c r="H275">
        <v>272</v>
      </c>
      <c r="I275">
        <v>32194.605275435431</v>
      </c>
    </row>
    <row r="276" spans="8:9" x14ac:dyDescent="0.3">
      <c r="H276">
        <v>273</v>
      </c>
      <c r="I276">
        <v>-6684.5907345764426</v>
      </c>
    </row>
    <row r="277" spans="8:9" x14ac:dyDescent="0.3">
      <c r="H277">
        <v>274</v>
      </c>
      <c r="I277">
        <v>36141.865095505113</v>
      </c>
    </row>
    <row r="278" spans="8:9" x14ac:dyDescent="0.3">
      <c r="H278">
        <v>275</v>
      </c>
      <c r="I278">
        <v>26864.247127617622</v>
      </c>
    </row>
    <row r="279" spans="8:9" x14ac:dyDescent="0.3">
      <c r="H279">
        <v>276</v>
      </c>
      <c r="I279">
        <v>879.3274487737217</v>
      </c>
    </row>
    <row r="280" spans="8:9" x14ac:dyDescent="0.3">
      <c r="H280">
        <v>277</v>
      </c>
      <c r="I280">
        <v>99809.81287169682</v>
      </c>
    </row>
    <row r="281" spans="8:9" x14ac:dyDescent="0.3">
      <c r="H281">
        <v>278</v>
      </c>
      <c r="I281">
        <v>19216.273128849076</v>
      </c>
    </row>
    <row r="282" spans="8:9" x14ac:dyDescent="0.3">
      <c r="H282">
        <v>279</v>
      </c>
      <c r="I282">
        <v>37760.428319189319</v>
      </c>
    </row>
    <row r="283" spans="8:9" x14ac:dyDescent="0.3">
      <c r="H283">
        <v>280</v>
      </c>
      <c r="I283">
        <v>68132.390477408248</v>
      </c>
    </row>
    <row r="284" spans="8:9" x14ac:dyDescent="0.3">
      <c r="H284">
        <v>281</v>
      </c>
      <c r="I284">
        <v>94887.314143419819</v>
      </c>
    </row>
    <row r="285" spans="8:9" x14ac:dyDescent="0.3">
      <c r="H285">
        <v>282</v>
      </c>
      <c r="I285">
        <v>58276.607957839762</v>
      </c>
    </row>
    <row r="286" spans="8:9" x14ac:dyDescent="0.3">
      <c r="H286">
        <v>283</v>
      </c>
      <c r="I286">
        <v>120299.40566287533</v>
      </c>
    </row>
    <row r="287" spans="8:9" x14ac:dyDescent="0.3">
      <c r="H287">
        <v>284</v>
      </c>
      <c r="I287">
        <v>29515.914952910331</v>
      </c>
    </row>
    <row r="288" spans="8:9" x14ac:dyDescent="0.3">
      <c r="H288">
        <v>285</v>
      </c>
      <c r="I288">
        <v>23198.159949212364</v>
      </c>
    </row>
    <row r="289" spans="8:9" x14ac:dyDescent="0.3">
      <c r="H289">
        <v>286</v>
      </c>
      <c r="I289">
        <v>40681.516617421046</v>
      </c>
    </row>
    <row r="290" spans="8:9" x14ac:dyDescent="0.3">
      <c r="H290">
        <v>287</v>
      </c>
      <c r="I290">
        <v>108229.74270509111</v>
      </c>
    </row>
    <row r="291" spans="8:9" x14ac:dyDescent="0.3">
      <c r="H291">
        <v>288</v>
      </c>
      <c r="I291">
        <v>62973.639459320264</v>
      </c>
    </row>
    <row r="292" spans="8:9" x14ac:dyDescent="0.3">
      <c r="H292">
        <v>289</v>
      </c>
      <c r="I292">
        <v>-44617.306643051095</v>
      </c>
    </row>
    <row r="293" spans="8:9" x14ac:dyDescent="0.3">
      <c r="H293">
        <v>290</v>
      </c>
      <c r="I293">
        <v>-4335.7110298838816</v>
      </c>
    </row>
    <row r="294" spans="8:9" x14ac:dyDescent="0.3">
      <c r="H294">
        <v>291</v>
      </c>
      <c r="I294">
        <v>78419.322771606763</v>
      </c>
    </row>
    <row r="295" spans="8:9" x14ac:dyDescent="0.3">
      <c r="H295">
        <v>292</v>
      </c>
      <c r="I295">
        <v>125408.79534940184</v>
      </c>
    </row>
    <row r="296" spans="8:9" x14ac:dyDescent="0.3">
      <c r="H296">
        <v>293</v>
      </c>
      <c r="I296">
        <v>15840.933466775241</v>
      </c>
    </row>
    <row r="297" spans="8:9" x14ac:dyDescent="0.3">
      <c r="H297">
        <v>294</v>
      </c>
      <c r="I297">
        <v>45060.786543131806</v>
      </c>
    </row>
    <row r="298" spans="8:9" x14ac:dyDescent="0.3">
      <c r="H298">
        <v>295</v>
      </c>
      <c r="I298">
        <v>28718.551204314732</v>
      </c>
    </row>
    <row r="299" spans="8:9" x14ac:dyDescent="0.3">
      <c r="H299">
        <v>296</v>
      </c>
      <c r="I299">
        <v>15675.554651494764</v>
      </c>
    </row>
    <row r="300" spans="8:9" x14ac:dyDescent="0.3">
      <c r="H300">
        <v>297</v>
      </c>
      <c r="I300">
        <v>19122.90949674914</v>
      </c>
    </row>
    <row r="301" spans="8:9" x14ac:dyDescent="0.3">
      <c r="H301">
        <v>298</v>
      </c>
      <c r="I301">
        <v>65100.918681224139</v>
      </c>
    </row>
    <row r="302" spans="8:9" x14ac:dyDescent="0.3">
      <c r="H302">
        <v>299</v>
      </c>
      <c r="I302">
        <v>55155.273256708722</v>
      </c>
    </row>
    <row r="303" spans="8:9" x14ac:dyDescent="0.3">
      <c r="H303">
        <v>300</v>
      </c>
      <c r="I303">
        <v>-23434.393384199589</v>
      </c>
    </row>
    <row r="304" spans="8:9" x14ac:dyDescent="0.3">
      <c r="H304">
        <v>301</v>
      </c>
      <c r="I304">
        <v>-1829.53372386111</v>
      </c>
    </row>
    <row r="305" spans="8:9" x14ac:dyDescent="0.3">
      <c r="H305">
        <v>302</v>
      </c>
      <c r="I305">
        <v>48587.195443756296</v>
      </c>
    </row>
    <row r="306" spans="8:9" x14ac:dyDescent="0.3">
      <c r="H306">
        <v>303</v>
      </c>
      <c r="I306">
        <v>-477.27373606471519</v>
      </c>
    </row>
    <row r="307" spans="8:9" x14ac:dyDescent="0.3">
      <c r="H307">
        <v>304</v>
      </c>
      <c r="I307">
        <v>-18327.969324228237</v>
      </c>
    </row>
    <row r="308" spans="8:9" x14ac:dyDescent="0.3">
      <c r="H308">
        <v>305</v>
      </c>
      <c r="I308">
        <v>43034.954438669069</v>
      </c>
    </row>
    <row r="309" spans="8:9" x14ac:dyDescent="0.3">
      <c r="H309">
        <v>306</v>
      </c>
      <c r="I309">
        <v>4137.2001741413551</v>
      </c>
    </row>
    <row r="310" spans="8:9" x14ac:dyDescent="0.3">
      <c r="H310">
        <v>307</v>
      </c>
      <c r="I310">
        <v>-51619.713734859775</v>
      </c>
    </row>
    <row r="311" spans="8:9" x14ac:dyDescent="0.3">
      <c r="H311">
        <v>308</v>
      </c>
      <c r="I311">
        <v>74716.893495508077</v>
      </c>
    </row>
    <row r="312" spans="8:9" x14ac:dyDescent="0.3">
      <c r="H312">
        <v>309</v>
      </c>
      <c r="I312">
        <v>75422.674991353269</v>
      </c>
    </row>
    <row r="313" spans="8:9" x14ac:dyDescent="0.3">
      <c r="H313">
        <v>310</v>
      </c>
      <c r="I313">
        <v>-5940.3074129187735</v>
      </c>
    </row>
    <row r="314" spans="8:9" x14ac:dyDescent="0.3">
      <c r="H314">
        <v>311</v>
      </c>
      <c r="I314">
        <v>50502.565213553171</v>
      </c>
    </row>
    <row r="315" spans="8:9" x14ac:dyDescent="0.3">
      <c r="H315">
        <v>312</v>
      </c>
      <c r="I315">
        <v>14380.227335040181</v>
      </c>
    </row>
    <row r="316" spans="8:9" x14ac:dyDescent="0.3">
      <c r="H316">
        <v>313</v>
      </c>
      <c r="I316">
        <v>45588.705598820641</v>
      </c>
    </row>
    <row r="317" spans="8:9" x14ac:dyDescent="0.3">
      <c r="H317">
        <v>314</v>
      </c>
      <c r="I317">
        <v>79776.262234185095</v>
      </c>
    </row>
    <row r="318" spans="8:9" x14ac:dyDescent="0.3">
      <c r="H318">
        <v>315</v>
      </c>
      <c r="I318">
        <v>123749.7220467021</v>
      </c>
    </row>
    <row r="319" spans="8:9" x14ac:dyDescent="0.3">
      <c r="H319">
        <v>316</v>
      </c>
      <c r="I319">
        <v>43291.289529406844</v>
      </c>
    </row>
    <row r="320" spans="8:9" x14ac:dyDescent="0.3">
      <c r="H320">
        <v>317</v>
      </c>
      <c r="I320">
        <v>41087.157442170865</v>
      </c>
    </row>
    <row r="321" spans="8:9" x14ac:dyDescent="0.3">
      <c r="H321">
        <v>318</v>
      </c>
      <c r="I321">
        <v>105092.79721120221</v>
      </c>
    </row>
    <row r="322" spans="8:9" x14ac:dyDescent="0.3">
      <c r="H322">
        <v>319</v>
      </c>
      <c r="I322">
        <v>59606.05905940244</v>
      </c>
    </row>
    <row r="323" spans="8:9" x14ac:dyDescent="0.3">
      <c r="H323">
        <v>320</v>
      </c>
      <c r="I323">
        <v>77300.503477285703</v>
      </c>
    </row>
    <row r="324" spans="8:9" x14ac:dyDescent="0.3">
      <c r="H324">
        <v>321</v>
      </c>
      <c r="I324">
        <v>30302.5753749711</v>
      </c>
    </row>
    <row r="325" spans="8:9" x14ac:dyDescent="0.3">
      <c r="H325">
        <v>322</v>
      </c>
      <c r="I325">
        <v>24528.798905624571</v>
      </c>
    </row>
    <row r="326" spans="8:9" x14ac:dyDescent="0.3">
      <c r="H326">
        <v>323</v>
      </c>
      <c r="I326">
        <v>24786.550590419472</v>
      </c>
    </row>
    <row r="327" spans="8:9" x14ac:dyDescent="0.3">
      <c r="H327">
        <v>324</v>
      </c>
      <c r="I327">
        <v>-35231.781208017899</v>
      </c>
    </row>
    <row r="328" spans="8:9" x14ac:dyDescent="0.3">
      <c r="H328">
        <v>325</v>
      </c>
      <c r="I328">
        <v>48721.233023266672</v>
      </c>
    </row>
    <row r="329" spans="8:9" x14ac:dyDescent="0.3">
      <c r="H329">
        <v>326</v>
      </c>
      <c r="I329">
        <v>-23829.46014197456</v>
      </c>
    </row>
    <row r="330" spans="8:9" x14ac:dyDescent="0.3">
      <c r="H330">
        <v>327</v>
      </c>
      <c r="I330">
        <v>-23961.420015117968</v>
      </c>
    </row>
    <row r="331" spans="8:9" x14ac:dyDescent="0.3">
      <c r="H331">
        <v>328</v>
      </c>
      <c r="I331">
        <v>-36217.81718297812</v>
      </c>
    </row>
    <row r="332" spans="8:9" x14ac:dyDescent="0.3">
      <c r="H332">
        <v>329</v>
      </c>
      <c r="I332">
        <v>40858.782384339269</v>
      </c>
    </row>
    <row r="333" spans="8:9" x14ac:dyDescent="0.3">
      <c r="H333">
        <v>330</v>
      </c>
      <c r="I333">
        <v>84800.92819617645</v>
      </c>
    </row>
    <row r="334" spans="8:9" x14ac:dyDescent="0.3">
      <c r="H334">
        <v>331</v>
      </c>
      <c r="I334">
        <v>20825.672147495687</v>
      </c>
    </row>
    <row r="335" spans="8:9" x14ac:dyDescent="0.3">
      <c r="H335">
        <v>332</v>
      </c>
      <c r="I335">
        <v>34854.094066806269</v>
      </c>
    </row>
    <row r="336" spans="8:9" x14ac:dyDescent="0.3">
      <c r="H336">
        <v>333</v>
      </c>
      <c r="I336">
        <v>49151.160825569168</v>
      </c>
    </row>
    <row r="337" spans="8:9" x14ac:dyDescent="0.3">
      <c r="H337">
        <v>334</v>
      </c>
      <c r="I337">
        <v>41537.432018261257</v>
      </c>
    </row>
    <row r="338" spans="8:9" x14ac:dyDescent="0.3">
      <c r="H338">
        <v>335</v>
      </c>
      <c r="I338">
        <v>64777.463061180664</v>
      </c>
    </row>
    <row r="339" spans="8:9" x14ac:dyDescent="0.3">
      <c r="H339">
        <v>336</v>
      </c>
      <c r="I339">
        <v>26648.574536420085</v>
      </c>
    </row>
    <row r="340" spans="8:9" x14ac:dyDescent="0.3">
      <c r="H340">
        <v>337</v>
      </c>
      <c r="I340">
        <v>51468.698377949928</v>
      </c>
    </row>
    <row r="341" spans="8:9" x14ac:dyDescent="0.3">
      <c r="H341">
        <v>338</v>
      </c>
      <c r="I341">
        <v>14373.915305371105</v>
      </c>
    </row>
    <row r="342" spans="8:9" x14ac:dyDescent="0.3">
      <c r="H342">
        <v>339</v>
      </c>
      <c r="I342">
        <v>32545.464516119027</v>
      </c>
    </row>
    <row r="343" spans="8:9" x14ac:dyDescent="0.3">
      <c r="H343">
        <v>340</v>
      </c>
      <c r="I343">
        <v>28377.099004937016</v>
      </c>
    </row>
    <row r="344" spans="8:9" x14ac:dyDescent="0.3">
      <c r="H344">
        <v>341</v>
      </c>
      <c r="I344">
        <v>6994.0138776880922</v>
      </c>
    </row>
    <row r="345" spans="8:9" x14ac:dyDescent="0.3">
      <c r="H345">
        <v>342</v>
      </c>
      <c r="I345">
        <v>-26195.677300001582</v>
      </c>
    </row>
    <row r="346" spans="8:9" x14ac:dyDescent="0.3">
      <c r="H346">
        <v>343</v>
      </c>
      <c r="I346">
        <v>-39.598677735237288</v>
      </c>
    </row>
    <row r="347" spans="8:9" x14ac:dyDescent="0.3">
      <c r="H347">
        <v>344</v>
      </c>
      <c r="I347">
        <v>53081.021407342108</v>
      </c>
    </row>
    <row r="348" spans="8:9" x14ac:dyDescent="0.3">
      <c r="H348">
        <v>345</v>
      </c>
      <c r="I348">
        <v>44486.524139861198</v>
      </c>
    </row>
    <row r="349" spans="8:9" x14ac:dyDescent="0.3">
      <c r="H349">
        <v>346</v>
      </c>
      <c r="I349">
        <v>64308.943024790729</v>
      </c>
    </row>
    <row r="350" spans="8:9" x14ac:dyDescent="0.3">
      <c r="H350">
        <v>347</v>
      </c>
      <c r="I350">
        <v>84048.936612517049</v>
      </c>
    </row>
    <row r="351" spans="8:9" x14ac:dyDescent="0.3">
      <c r="H351">
        <v>348</v>
      </c>
      <c r="I351">
        <v>63882.680258890046</v>
      </c>
    </row>
    <row r="352" spans="8:9" x14ac:dyDescent="0.3">
      <c r="H352">
        <v>349</v>
      </c>
      <c r="I352">
        <v>95944.958588328067</v>
      </c>
    </row>
    <row r="353" spans="8:9" x14ac:dyDescent="0.3">
      <c r="H353">
        <v>350</v>
      </c>
      <c r="I353">
        <v>75099.807630073657</v>
      </c>
    </row>
    <row r="354" spans="8:9" x14ac:dyDescent="0.3">
      <c r="H354">
        <v>351</v>
      </c>
      <c r="I354">
        <v>86523.013171879735</v>
      </c>
    </row>
    <row r="355" spans="8:9" x14ac:dyDescent="0.3">
      <c r="H355">
        <v>352</v>
      </c>
      <c r="I355">
        <v>58222.683718824395</v>
      </c>
    </row>
    <row r="356" spans="8:9" x14ac:dyDescent="0.3">
      <c r="H356">
        <v>353</v>
      </c>
      <c r="I356">
        <v>118614.03197843973</v>
      </c>
    </row>
    <row r="357" spans="8:9" x14ac:dyDescent="0.3">
      <c r="H357">
        <v>354</v>
      </c>
      <c r="I357">
        <v>82384.102642922793</v>
      </c>
    </row>
    <row r="358" spans="8:9" x14ac:dyDescent="0.3">
      <c r="H358">
        <v>355</v>
      </c>
      <c r="I358">
        <v>81978.388243622627</v>
      </c>
    </row>
    <row r="359" spans="8:9" x14ac:dyDescent="0.3">
      <c r="H359">
        <v>356</v>
      </c>
      <c r="I359">
        <v>68644.308112465995</v>
      </c>
    </row>
    <row r="360" spans="8:9" x14ac:dyDescent="0.3">
      <c r="H360">
        <v>357</v>
      </c>
      <c r="I360">
        <v>-34958.615759041408</v>
      </c>
    </row>
    <row r="361" spans="8:9" x14ac:dyDescent="0.3">
      <c r="H361">
        <v>358</v>
      </c>
      <c r="I361">
        <v>58560.26244779877</v>
      </c>
    </row>
    <row r="362" spans="8:9" x14ac:dyDescent="0.3">
      <c r="H362">
        <v>359</v>
      </c>
      <c r="I362">
        <v>-42130.905782745773</v>
      </c>
    </row>
    <row r="363" spans="8:9" x14ac:dyDescent="0.3">
      <c r="H363">
        <v>360</v>
      </c>
      <c r="I363">
        <v>68282.958410061736</v>
      </c>
    </row>
    <row r="364" spans="8:9" x14ac:dyDescent="0.3">
      <c r="H364">
        <v>361</v>
      </c>
      <c r="I364">
        <v>57049.183767349474</v>
      </c>
    </row>
    <row r="365" spans="8:9" x14ac:dyDescent="0.3">
      <c r="H365">
        <v>362</v>
      </c>
      <c r="I365">
        <v>118740.55729598111</v>
      </c>
    </row>
    <row r="366" spans="8:9" x14ac:dyDescent="0.3">
      <c r="H366">
        <v>363</v>
      </c>
      <c r="I366">
        <v>72645.546878079316</v>
      </c>
    </row>
    <row r="367" spans="8:9" x14ac:dyDescent="0.3">
      <c r="H367">
        <v>364</v>
      </c>
      <c r="I367">
        <v>31422.316608554233</v>
      </c>
    </row>
    <row r="368" spans="8:9" x14ac:dyDescent="0.3">
      <c r="H368">
        <v>365</v>
      </c>
      <c r="I368">
        <v>120584.4770043496</v>
      </c>
    </row>
    <row r="369" spans="8:9" x14ac:dyDescent="0.3">
      <c r="H369">
        <v>366</v>
      </c>
      <c r="I369">
        <v>21441.595697570432</v>
      </c>
    </row>
    <row r="370" spans="8:9" x14ac:dyDescent="0.3">
      <c r="H370">
        <v>367</v>
      </c>
      <c r="I370">
        <v>76143.20074926017</v>
      </c>
    </row>
    <row r="371" spans="8:9" x14ac:dyDescent="0.3">
      <c r="H371">
        <v>368</v>
      </c>
      <c r="I371">
        <v>86259.070979379656</v>
      </c>
    </row>
    <row r="372" spans="8:9" x14ac:dyDescent="0.3">
      <c r="H372">
        <v>369</v>
      </c>
      <c r="I372">
        <v>27435.682774550281</v>
      </c>
    </row>
    <row r="373" spans="8:9" x14ac:dyDescent="0.3">
      <c r="H373">
        <v>370</v>
      </c>
      <c r="I373">
        <v>58303.00616146953</v>
      </c>
    </row>
    <row r="374" spans="8:9" x14ac:dyDescent="0.3">
      <c r="H374">
        <v>371</v>
      </c>
      <c r="I374">
        <v>69354.253634405264</v>
      </c>
    </row>
    <row r="375" spans="8:9" x14ac:dyDescent="0.3">
      <c r="H375">
        <v>372</v>
      </c>
      <c r="I375">
        <v>80849.762036729837</v>
      </c>
    </row>
    <row r="376" spans="8:9" x14ac:dyDescent="0.3">
      <c r="H376">
        <v>373</v>
      </c>
      <c r="I376">
        <v>-40367.370100663</v>
      </c>
    </row>
    <row r="377" spans="8:9" x14ac:dyDescent="0.3">
      <c r="H377">
        <v>374</v>
      </c>
      <c r="I377">
        <v>44234.520362888055</v>
      </c>
    </row>
    <row r="378" spans="8:9" x14ac:dyDescent="0.3">
      <c r="H378">
        <v>375</v>
      </c>
      <c r="I378">
        <v>43143.908280225398</v>
      </c>
    </row>
    <row r="379" spans="8:9" x14ac:dyDescent="0.3">
      <c r="H379">
        <v>376</v>
      </c>
      <c r="I379">
        <v>31096.989778465038</v>
      </c>
    </row>
    <row r="380" spans="8:9" x14ac:dyDescent="0.3">
      <c r="H380">
        <v>377</v>
      </c>
      <c r="I380">
        <v>18877.008967543821</v>
      </c>
    </row>
    <row r="381" spans="8:9" x14ac:dyDescent="0.3">
      <c r="H381">
        <v>378</v>
      </c>
      <c r="I381">
        <v>91378.197573958329</v>
      </c>
    </row>
    <row r="382" spans="8:9" x14ac:dyDescent="0.3">
      <c r="H382">
        <v>379</v>
      </c>
      <c r="I382">
        <v>-31600.124947791337</v>
      </c>
    </row>
    <row r="383" spans="8:9" x14ac:dyDescent="0.3">
      <c r="H383">
        <v>380</v>
      </c>
      <c r="I383">
        <v>7725.071995004022</v>
      </c>
    </row>
    <row r="384" spans="8:9" x14ac:dyDescent="0.3">
      <c r="H384">
        <v>381</v>
      </c>
      <c r="I384">
        <v>-48306.625317731494</v>
      </c>
    </row>
    <row r="385" spans="8:9" x14ac:dyDescent="0.3">
      <c r="H385">
        <v>382</v>
      </c>
      <c r="I385">
        <v>-29559.159330880269</v>
      </c>
    </row>
    <row r="386" spans="8:9" x14ac:dyDescent="0.3">
      <c r="H386">
        <v>383</v>
      </c>
      <c r="I386">
        <v>46048.256742436191</v>
      </c>
    </row>
    <row r="387" spans="8:9" x14ac:dyDescent="0.3">
      <c r="H387">
        <v>384</v>
      </c>
      <c r="I387">
        <v>24528.554561204044</v>
      </c>
    </row>
    <row r="388" spans="8:9" x14ac:dyDescent="0.3">
      <c r="H388">
        <v>385</v>
      </c>
      <c r="I388">
        <v>-26210.195673447626</v>
      </c>
    </row>
    <row r="389" spans="8:9" x14ac:dyDescent="0.3">
      <c r="H389">
        <v>386</v>
      </c>
      <c r="I389">
        <v>-4888.4653614966082</v>
      </c>
    </row>
    <row r="390" spans="8:9" x14ac:dyDescent="0.3">
      <c r="H390">
        <v>387</v>
      </c>
      <c r="I390">
        <v>-44947.412324067147</v>
      </c>
    </row>
    <row r="391" spans="8:9" x14ac:dyDescent="0.3">
      <c r="H391">
        <v>388</v>
      </c>
      <c r="I391">
        <v>13989.119889494512</v>
      </c>
    </row>
    <row r="392" spans="8:9" x14ac:dyDescent="0.3">
      <c r="H392">
        <v>389</v>
      </c>
      <c r="I392">
        <v>25984.909012293996</v>
      </c>
    </row>
    <row r="393" spans="8:9" x14ac:dyDescent="0.3">
      <c r="H393">
        <v>390</v>
      </c>
      <c r="I393">
        <v>27487.342929448758</v>
      </c>
    </row>
    <row r="394" spans="8:9" x14ac:dyDescent="0.3">
      <c r="H394">
        <v>391</v>
      </c>
      <c r="I394">
        <v>51117.916202216787</v>
      </c>
    </row>
    <row r="395" spans="8:9" x14ac:dyDescent="0.3">
      <c r="H395">
        <v>392</v>
      </c>
      <c r="I395">
        <v>68458.691049904563</v>
      </c>
    </row>
    <row r="396" spans="8:9" x14ac:dyDescent="0.3">
      <c r="H396">
        <v>393</v>
      </c>
      <c r="I396">
        <v>-44549.047701022617</v>
      </c>
    </row>
    <row r="397" spans="8:9" x14ac:dyDescent="0.3">
      <c r="H397">
        <v>394</v>
      </c>
      <c r="I397">
        <v>56599.151810719675</v>
      </c>
    </row>
    <row r="398" spans="8:9" x14ac:dyDescent="0.3">
      <c r="H398">
        <v>395</v>
      </c>
      <c r="I398">
        <v>38017.911993699265</v>
      </c>
    </row>
    <row r="399" spans="8:9" x14ac:dyDescent="0.3">
      <c r="H399">
        <v>396</v>
      </c>
      <c r="I399">
        <v>100887.55055818825</v>
      </c>
    </row>
    <row r="400" spans="8:9" x14ac:dyDescent="0.3">
      <c r="H400">
        <v>397</v>
      </c>
      <c r="I400">
        <v>45750.085895664364</v>
      </c>
    </row>
    <row r="401" spans="8:9" x14ac:dyDescent="0.3">
      <c r="H401">
        <v>398</v>
      </c>
      <c r="I401">
        <v>-43665.788341560954</v>
      </c>
    </row>
    <row r="402" spans="8:9" x14ac:dyDescent="0.3">
      <c r="H402">
        <v>399</v>
      </c>
      <c r="I402">
        <v>-10352.016974345461</v>
      </c>
    </row>
    <row r="403" spans="8:9" x14ac:dyDescent="0.3">
      <c r="H403">
        <v>400</v>
      </c>
      <c r="I403">
        <v>-29743.150366758957</v>
      </c>
    </row>
    <row r="404" spans="8:9" x14ac:dyDescent="0.3">
      <c r="H404">
        <v>401</v>
      </c>
      <c r="I404">
        <v>84221.772812453535</v>
      </c>
    </row>
    <row r="405" spans="8:9" x14ac:dyDescent="0.3">
      <c r="H405">
        <v>402</v>
      </c>
      <c r="I405">
        <v>9593.2455725135223</v>
      </c>
    </row>
    <row r="406" spans="8:9" x14ac:dyDescent="0.3">
      <c r="H406">
        <v>403</v>
      </c>
      <c r="I406">
        <v>44242.272903724428</v>
      </c>
    </row>
    <row r="407" spans="8:9" x14ac:dyDescent="0.3">
      <c r="H407">
        <v>404</v>
      </c>
      <c r="I407">
        <v>8373.6426028882124</v>
      </c>
    </row>
    <row r="408" spans="8:9" x14ac:dyDescent="0.3">
      <c r="H408">
        <v>405</v>
      </c>
      <c r="I408">
        <v>61303.874188883841</v>
      </c>
    </row>
    <row r="409" spans="8:9" x14ac:dyDescent="0.3">
      <c r="H409">
        <v>406</v>
      </c>
      <c r="I409">
        <v>-20188.173938428663</v>
      </c>
    </row>
    <row r="410" spans="8:9" x14ac:dyDescent="0.3">
      <c r="H410">
        <v>407</v>
      </c>
      <c r="I410">
        <v>10454.225794560814</v>
      </c>
    </row>
    <row r="411" spans="8:9" x14ac:dyDescent="0.3">
      <c r="H411">
        <v>408</v>
      </c>
      <c r="I411">
        <v>59288.848780878863</v>
      </c>
    </row>
    <row r="412" spans="8:9" x14ac:dyDescent="0.3">
      <c r="H412">
        <v>409</v>
      </c>
      <c r="I412">
        <v>9127.311180692006</v>
      </c>
    </row>
    <row r="413" spans="8:9" x14ac:dyDescent="0.3">
      <c r="H413">
        <v>410</v>
      </c>
      <c r="I413">
        <v>50727.802412192264</v>
      </c>
    </row>
    <row r="414" spans="8:9" x14ac:dyDescent="0.3">
      <c r="H414">
        <v>411</v>
      </c>
      <c r="I414">
        <v>48460.340924549571</v>
      </c>
    </row>
    <row r="415" spans="8:9" x14ac:dyDescent="0.3">
      <c r="H415">
        <v>412</v>
      </c>
      <c r="I415">
        <v>36821.627992137801</v>
      </c>
    </row>
    <row r="416" spans="8:9" x14ac:dyDescent="0.3">
      <c r="H416">
        <v>413</v>
      </c>
      <c r="I416">
        <v>18252.150176263036</v>
      </c>
    </row>
    <row r="417" spans="8:9" x14ac:dyDescent="0.3">
      <c r="H417">
        <v>414</v>
      </c>
      <c r="I417">
        <v>40565.743270258114</v>
      </c>
    </row>
    <row r="418" spans="8:9" x14ac:dyDescent="0.3">
      <c r="H418">
        <v>415</v>
      </c>
      <c r="I418">
        <v>69134.363832212577</v>
      </c>
    </row>
    <row r="419" spans="8:9" x14ac:dyDescent="0.3">
      <c r="H419">
        <v>416</v>
      </c>
      <c r="I419">
        <v>68754.41682681028</v>
      </c>
    </row>
    <row r="420" spans="8:9" x14ac:dyDescent="0.3">
      <c r="H420">
        <v>417</v>
      </c>
      <c r="I420">
        <v>60684.476388033392</v>
      </c>
    </row>
    <row r="421" spans="8:9" x14ac:dyDescent="0.3">
      <c r="H421">
        <v>418</v>
      </c>
      <c r="I421">
        <v>76080.740949264058</v>
      </c>
    </row>
    <row r="422" spans="8:9" x14ac:dyDescent="0.3">
      <c r="H422">
        <v>419</v>
      </c>
      <c r="I422">
        <v>9938.2909712831897</v>
      </c>
    </row>
    <row r="423" spans="8:9" x14ac:dyDescent="0.3">
      <c r="H423">
        <v>420</v>
      </c>
      <c r="I423">
        <v>84191.457203265963</v>
      </c>
    </row>
    <row r="424" spans="8:9" x14ac:dyDescent="0.3">
      <c r="H424">
        <v>421</v>
      </c>
      <c r="I424">
        <v>24166.928338725862</v>
      </c>
    </row>
    <row r="425" spans="8:9" x14ac:dyDescent="0.3">
      <c r="H425">
        <v>422</v>
      </c>
      <c r="I425">
        <v>-19176.739448475506</v>
      </c>
    </row>
    <row r="426" spans="8:9" x14ac:dyDescent="0.3">
      <c r="H426">
        <v>423</v>
      </c>
      <c r="I426">
        <v>-8357.4460496060783</v>
      </c>
    </row>
    <row r="427" spans="8:9" x14ac:dyDescent="0.3">
      <c r="H427">
        <v>424</v>
      </c>
      <c r="I427">
        <v>-27453.940912437087</v>
      </c>
    </row>
    <row r="428" spans="8:9" x14ac:dyDescent="0.3">
      <c r="H428">
        <v>425</v>
      </c>
      <c r="I428">
        <v>-14180.596730186298</v>
      </c>
    </row>
    <row r="429" spans="8:9" x14ac:dyDescent="0.3">
      <c r="H429">
        <v>426</v>
      </c>
      <c r="I429">
        <v>-81295.547406410915</v>
      </c>
    </row>
    <row r="430" spans="8:9" x14ac:dyDescent="0.3">
      <c r="H430">
        <v>427</v>
      </c>
      <c r="I430">
        <v>25087.079479608103</v>
      </c>
    </row>
    <row r="431" spans="8:9" x14ac:dyDescent="0.3">
      <c r="H431">
        <v>428</v>
      </c>
      <c r="I431">
        <v>14713.098535254001</v>
      </c>
    </row>
    <row r="432" spans="8:9" x14ac:dyDescent="0.3">
      <c r="H432">
        <v>429</v>
      </c>
      <c r="I432">
        <v>15075.33660504545</v>
      </c>
    </row>
    <row r="433" spans="8:9" x14ac:dyDescent="0.3">
      <c r="H433">
        <v>430</v>
      </c>
      <c r="I433">
        <v>-30703.307730624278</v>
      </c>
    </row>
    <row r="434" spans="8:9" x14ac:dyDescent="0.3">
      <c r="H434">
        <v>431</v>
      </c>
      <c r="I434">
        <v>97456.778273700169</v>
      </c>
    </row>
    <row r="435" spans="8:9" x14ac:dyDescent="0.3">
      <c r="H435">
        <v>432</v>
      </c>
      <c r="I435">
        <v>50475.17027090762</v>
      </c>
    </row>
    <row r="436" spans="8:9" x14ac:dyDescent="0.3">
      <c r="H436">
        <v>433</v>
      </c>
      <c r="I436">
        <v>41678.176910832743</v>
      </c>
    </row>
    <row r="437" spans="8:9" x14ac:dyDescent="0.3">
      <c r="H437">
        <v>434</v>
      </c>
      <c r="I437">
        <v>72935.952430154648</v>
      </c>
    </row>
    <row r="438" spans="8:9" x14ac:dyDescent="0.3">
      <c r="H438">
        <v>435</v>
      </c>
      <c r="I438">
        <v>43700.50015847887</v>
      </c>
    </row>
    <row r="439" spans="8:9" x14ac:dyDescent="0.3">
      <c r="H439">
        <v>436</v>
      </c>
      <c r="I439">
        <v>18036.171081166744</v>
      </c>
    </row>
    <row r="440" spans="8:9" x14ac:dyDescent="0.3">
      <c r="H440">
        <v>437</v>
      </c>
      <c r="I440">
        <v>107134.92387512226</v>
      </c>
    </row>
    <row r="441" spans="8:9" x14ac:dyDescent="0.3">
      <c r="H441">
        <v>438</v>
      </c>
      <c r="I441">
        <v>19649.123691019005</v>
      </c>
    </row>
    <row r="442" spans="8:9" x14ac:dyDescent="0.3">
      <c r="H442">
        <v>439</v>
      </c>
      <c r="I442">
        <v>42504.948112735234</v>
      </c>
    </row>
    <row r="443" spans="8:9" x14ac:dyDescent="0.3">
      <c r="H443">
        <v>440</v>
      </c>
      <c r="I443">
        <v>54050.858322110056</v>
      </c>
    </row>
    <row r="444" spans="8:9" x14ac:dyDescent="0.3">
      <c r="H444">
        <v>441</v>
      </c>
      <c r="I444">
        <v>7163.9446956032771</v>
      </c>
    </row>
    <row r="445" spans="8:9" x14ac:dyDescent="0.3">
      <c r="H445">
        <v>442</v>
      </c>
      <c r="I445">
        <v>25538.936227715501</v>
      </c>
    </row>
    <row r="446" spans="8:9" x14ac:dyDescent="0.3">
      <c r="H446">
        <v>443</v>
      </c>
      <c r="I446">
        <v>67806.464232532031</v>
      </c>
    </row>
    <row r="447" spans="8:9" x14ac:dyDescent="0.3">
      <c r="H447">
        <v>444</v>
      </c>
      <c r="I447">
        <v>22221.359037579008</v>
      </c>
    </row>
    <row r="448" spans="8:9" x14ac:dyDescent="0.3">
      <c r="H448">
        <v>445</v>
      </c>
      <c r="I448">
        <v>25564.617258432569</v>
      </c>
    </row>
    <row r="449" spans="8:9" x14ac:dyDescent="0.3">
      <c r="H449">
        <v>446</v>
      </c>
      <c r="I449">
        <v>64921.047011890914</v>
      </c>
    </row>
    <row r="450" spans="8:9" x14ac:dyDescent="0.3">
      <c r="H450">
        <v>447</v>
      </c>
      <c r="I450">
        <v>-4408.8476345673262</v>
      </c>
    </row>
    <row r="451" spans="8:9" x14ac:dyDescent="0.3">
      <c r="H451">
        <v>448</v>
      </c>
      <c r="I451">
        <v>32209.581548830523</v>
      </c>
    </row>
    <row r="452" spans="8:9" x14ac:dyDescent="0.3">
      <c r="H452">
        <v>449</v>
      </c>
      <c r="I452">
        <v>113926.81996611421</v>
      </c>
    </row>
    <row r="453" spans="8:9" x14ac:dyDescent="0.3">
      <c r="H453">
        <v>450</v>
      </c>
      <c r="I453">
        <v>41872.237959288774</v>
      </c>
    </row>
    <row r="454" spans="8:9" x14ac:dyDescent="0.3">
      <c r="H454">
        <v>451</v>
      </c>
      <c r="I454">
        <v>39581.190679013322</v>
      </c>
    </row>
    <row r="455" spans="8:9" x14ac:dyDescent="0.3">
      <c r="H455">
        <v>452</v>
      </c>
      <c r="I455">
        <v>35056.985797626461</v>
      </c>
    </row>
    <row r="456" spans="8:9" x14ac:dyDescent="0.3">
      <c r="H456">
        <v>453</v>
      </c>
      <c r="I456">
        <v>50933.825909913547</v>
      </c>
    </row>
    <row r="457" spans="8:9" x14ac:dyDescent="0.3">
      <c r="H457">
        <v>454</v>
      </c>
      <c r="I457">
        <v>20737.435379123272</v>
      </c>
    </row>
    <row r="458" spans="8:9" x14ac:dyDescent="0.3">
      <c r="H458">
        <v>455</v>
      </c>
      <c r="I458">
        <v>55835.064893669143</v>
      </c>
    </row>
    <row r="459" spans="8:9" x14ac:dyDescent="0.3">
      <c r="H459">
        <v>456</v>
      </c>
      <c r="I459">
        <v>-36853.564832225384</v>
      </c>
    </row>
    <row r="460" spans="8:9" x14ac:dyDescent="0.3">
      <c r="H460">
        <v>457</v>
      </c>
      <c r="I460">
        <v>98552.5413704237</v>
      </c>
    </row>
    <row r="461" spans="8:9" x14ac:dyDescent="0.3">
      <c r="H461">
        <v>458</v>
      </c>
      <c r="I461">
        <v>94275.158579731069</v>
      </c>
    </row>
    <row r="462" spans="8:9" x14ac:dyDescent="0.3">
      <c r="H462">
        <v>459</v>
      </c>
      <c r="I462">
        <v>19330.308982657443</v>
      </c>
    </row>
    <row r="463" spans="8:9" x14ac:dyDescent="0.3">
      <c r="H463">
        <v>460</v>
      </c>
      <c r="I463">
        <v>61666.951709496556</v>
      </c>
    </row>
    <row r="464" spans="8:9" x14ac:dyDescent="0.3">
      <c r="H464">
        <v>461</v>
      </c>
      <c r="I464">
        <v>40017.415053003526</v>
      </c>
    </row>
    <row r="465" spans="8:9" x14ac:dyDescent="0.3">
      <c r="H465">
        <v>462</v>
      </c>
      <c r="I465">
        <v>-27795.491280423477</v>
      </c>
    </row>
    <row r="466" spans="8:9" x14ac:dyDescent="0.3">
      <c r="H466">
        <v>463</v>
      </c>
      <c r="I466">
        <v>25107.753900542462</v>
      </c>
    </row>
    <row r="467" spans="8:9" x14ac:dyDescent="0.3">
      <c r="H467">
        <v>464</v>
      </c>
      <c r="I467">
        <v>-6136.4797713132284</v>
      </c>
    </row>
    <row r="468" spans="8:9" x14ac:dyDescent="0.3">
      <c r="H468">
        <v>465</v>
      </c>
      <c r="I468">
        <v>65116.892217315297</v>
      </c>
    </row>
    <row r="469" spans="8:9" x14ac:dyDescent="0.3">
      <c r="H469">
        <v>466</v>
      </c>
      <c r="I469">
        <v>32675.654843153214</v>
      </c>
    </row>
    <row r="470" spans="8:9" x14ac:dyDescent="0.3">
      <c r="H470">
        <v>467</v>
      </c>
      <c r="I470">
        <v>64436.698708620213</v>
      </c>
    </row>
    <row r="471" spans="8:9" x14ac:dyDescent="0.3">
      <c r="H471">
        <v>468</v>
      </c>
      <c r="I471">
        <v>8112.4654984029767</v>
      </c>
    </row>
    <row r="472" spans="8:9" x14ac:dyDescent="0.3">
      <c r="H472">
        <v>469</v>
      </c>
      <c r="I472">
        <v>15760.794915281513</v>
      </c>
    </row>
    <row r="473" spans="8:9" x14ac:dyDescent="0.3">
      <c r="H473">
        <v>470</v>
      </c>
      <c r="I473">
        <v>8985.5708246513386</v>
      </c>
    </row>
    <row r="474" spans="8:9" x14ac:dyDescent="0.3">
      <c r="H474">
        <v>471</v>
      </c>
      <c r="I474">
        <v>49961.889464394742</v>
      </c>
    </row>
    <row r="475" spans="8:9" x14ac:dyDescent="0.3">
      <c r="H475">
        <v>472</v>
      </c>
      <c r="I475">
        <v>88849.283988767551</v>
      </c>
    </row>
    <row r="476" spans="8:9" x14ac:dyDescent="0.3">
      <c r="H476">
        <v>473</v>
      </c>
      <c r="I476">
        <v>11064.411861626635</v>
      </c>
    </row>
    <row r="477" spans="8:9" x14ac:dyDescent="0.3">
      <c r="H477">
        <v>474</v>
      </c>
      <c r="I477">
        <v>38887.878641505304</v>
      </c>
    </row>
    <row r="478" spans="8:9" x14ac:dyDescent="0.3">
      <c r="H478">
        <v>475</v>
      </c>
      <c r="I478">
        <v>9649.9654276020883</v>
      </c>
    </row>
    <row r="479" spans="8:9" x14ac:dyDescent="0.3">
      <c r="H479">
        <v>476</v>
      </c>
      <c r="I479">
        <v>-50628.539445806615</v>
      </c>
    </row>
    <row r="480" spans="8:9" x14ac:dyDescent="0.3">
      <c r="H480">
        <v>477</v>
      </c>
      <c r="I480">
        <v>61048.103906309014</v>
      </c>
    </row>
    <row r="481" spans="8:9" x14ac:dyDescent="0.3">
      <c r="H481">
        <v>478</v>
      </c>
      <c r="I481">
        <v>78347.484661838505</v>
      </c>
    </row>
    <row r="482" spans="8:9" x14ac:dyDescent="0.3">
      <c r="H482">
        <v>479</v>
      </c>
      <c r="I482">
        <v>5139.6647722011694</v>
      </c>
    </row>
    <row r="483" spans="8:9" x14ac:dyDescent="0.3">
      <c r="H483">
        <v>480</v>
      </c>
      <c r="I483">
        <v>26019.047623602091</v>
      </c>
    </row>
    <row r="484" spans="8:9" x14ac:dyDescent="0.3">
      <c r="H484">
        <v>481</v>
      </c>
      <c r="I484">
        <v>92376.426741228104</v>
      </c>
    </row>
    <row r="485" spans="8:9" x14ac:dyDescent="0.3">
      <c r="H485">
        <v>482</v>
      </c>
      <c r="I485">
        <v>100317.37256486944</v>
      </c>
    </row>
    <row r="486" spans="8:9" x14ac:dyDescent="0.3">
      <c r="H486">
        <v>483</v>
      </c>
      <c r="I486">
        <v>37453.373230582205</v>
      </c>
    </row>
    <row r="487" spans="8:9" x14ac:dyDescent="0.3">
      <c r="H487">
        <v>484</v>
      </c>
      <c r="I487">
        <v>-18228.134496814338</v>
      </c>
    </row>
    <row r="488" spans="8:9" x14ac:dyDescent="0.3">
      <c r="H488">
        <v>485</v>
      </c>
      <c r="I488">
        <v>78437.412514603697</v>
      </c>
    </row>
    <row r="489" spans="8:9" x14ac:dyDescent="0.3">
      <c r="H489">
        <v>486</v>
      </c>
      <c r="I489">
        <v>110629.56172563377</v>
      </c>
    </row>
    <row r="490" spans="8:9" x14ac:dyDescent="0.3">
      <c r="H490">
        <v>487</v>
      </c>
      <c r="I490">
        <v>47528.720158095181</v>
      </c>
    </row>
    <row r="491" spans="8:9" x14ac:dyDescent="0.3">
      <c r="H491">
        <v>488</v>
      </c>
      <c r="I491">
        <v>109624.42428321001</v>
      </c>
    </row>
    <row r="492" spans="8:9" x14ac:dyDescent="0.3">
      <c r="H492">
        <v>489</v>
      </c>
      <c r="I492">
        <v>34036.473423827134</v>
      </c>
    </row>
    <row r="493" spans="8:9" x14ac:dyDescent="0.3">
      <c r="H493">
        <v>490</v>
      </c>
      <c r="I493">
        <v>75319.658462531399</v>
      </c>
    </row>
    <row r="494" spans="8:9" x14ac:dyDescent="0.3">
      <c r="H494">
        <v>491</v>
      </c>
      <c r="I494">
        <v>15003.490401490024</v>
      </c>
    </row>
    <row r="495" spans="8:9" x14ac:dyDescent="0.3">
      <c r="H495">
        <v>492</v>
      </c>
      <c r="I495">
        <v>50922.352823215027</v>
      </c>
    </row>
    <row r="496" spans="8:9" x14ac:dyDescent="0.3">
      <c r="H496">
        <v>493</v>
      </c>
      <c r="I496">
        <v>26356.010026666525</v>
      </c>
    </row>
    <row r="497" spans="8:9" x14ac:dyDescent="0.3">
      <c r="H497">
        <v>494</v>
      </c>
      <c r="I497">
        <v>-1325.0019680275291</v>
      </c>
    </row>
    <row r="498" spans="8:9" x14ac:dyDescent="0.3">
      <c r="H498">
        <v>495</v>
      </c>
      <c r="I498">
        <v>50427.728515283234</v>
      </c>
    </row>
    <row r="499" spans="8:9" x14ac:dyDescent="0.3">
      <c r="H499">
        <v>496</v>
      </c>
      <c r="I499">
        <v>-31852.661264182883</v>
      </c>
    </row>
    <row r="500" spans="8:9" x14ac:dyDescent="0.3">
      <c r="H500">
        <v>497</v>
      </c>
      <c r="I500">
        <v>54655.904962053071</v>
      </c>
    </row>
    <row r="501" spans="8:9" x14ac:dyDescent="0.3">
      <c r="H501">
        <v>498</v>
      </c>
      <c r="I501">
        <v>-4541.9157560221211</v>
      </c>
    </row>
    <row r="502" spans="8:9" x14ac:dyDescent="0.3">
      <c r="H502">
        <v>499</v>
      </c>
      <c r="I502">
        <v>6285.5067828958272</v>
      </c>
    </row>
    <row r="503" spans="8:9" x14ac:dyDescent="0.3">
      <c r="H503">
        <v>500</v>
      </c>
      <c r="I503">
        <v>66928.938934692385</v>
      </c>
    </row>
  </sheetData>
  <mergeCells count="1"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Profits2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 Hoang</dc:creator>
  <cp:lastModifiedBy>Linh Hoang</cp:lastModifiedBy>
  <dcterms:created xsi:type="dcterms:W3CDTF">2025-11-10T05:35:52Z</dcterms:created>
  <dcterms:modified xsi:type="dcterms:W3CDTF">2025-11-10T05:55:41Z</dcterms:modified>
</cp:coreProperties>
</file>