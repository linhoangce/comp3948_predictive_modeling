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ho\Desktop\CST\term3\pred_analytics\week2\"/>
    </mc:Choice>
  </mc:AlternateContent>
  <xr:revisionPtr revIDLastSave="0" documentId="13_ncr:1_{BE8619BB-020C-44A2-95C5-8D03ABB96A80}" xr6:coauthVersionLast="47" xr6:coauthVersionMax="47" xr10:uidLastSave="{00000000-0000-0000-0000-000000000000}"/>
  <bookViews>
    <workbookView xWindow="11424" yWindow="0" windowWidth="11712" windowHeight="12336" xr2:uid="{F4DA2DD0-9190-4E12-A455-F4193043C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4" i="1"/>
  <c r="H11" i="1"/>
  <c r="H8" i="1"/>
  <c r="H7" i="1"/>
  <c r="H6" i="1"/>
  <c r="H5" i="1"/>
  <c r="H4" i="1"/>
  <c r="H3" i="1"/>
  <c r="H2" i="1"/>
  <c r="G8" i="1"/>
  <c r="G7" i="1"/>
  <c r="G6" i="1"/>
  <c r="G5" i="1"/>
  <c r="G4" i="1"/>
  <c r="G3" i="1"/>
  <c r="G2" i="1"/>
  <c r="C8" i="1"/>
  <c r="A14" i="1" s="1"/>
  <c r="B8" i="1"/>
  <c r="A11" i="1" s="1"/>
  <c r="E7" i="1"/>
  <c r="E6" i="1"/>
  <c r="E5" i="1"/>
  <c r="E4" i="1"/>
  <c r="E3" i="1"/>
  <c r="E2" i="1"/>
  <c r="D7" i="1"/>
  <c r="D6" i="1"/>
  <c r="D5" i="1"/>
  <c r="D4" i="1"/>
  <c r="D3" i="1"/>
  <c r="D2" i="1"/>
  <c r="C11" i="1" l="1"/>
  <c r="D14" i="1"/>
  <c r="D8" i="1"/>
  <c r="E8" i="1"/>
  <c r="C14" i="1" s="1"/>
  <c r="D11" i="1"/>
  <c r="F11" i="1" l="1"/>
  <c r="F14" i="1" l="1"/>
  <c r="F7" i="1" l="1"/>
  <c r="A20" i="1"/>
  <c r="F2" i="1"/>
  <c r="A19" i="1"/>
  <c r="F4" i="1"/>
  <c r="F5" i="1"/>
  <c r="F3" i="1"/>
  <c r="F6" i="1"/>
  <c r="A21" i="1"/>
</calcChain>
</file>

<file path=xl/sharedStrings.xml><?xml version="1.0" encoding="utf-8"?>
<sst xmlns="http://schemas.openxmlformats.org/spreadsheetml/2006/main" count="19" uniqueCount="19">
  <si>
    <t>n</t>
  </si>
  <si>
    <t>x</t>
  </si>
  <si>
    <t xml:space="preserve">y </t>
  </si>
  <si>
    <t xml:space="preserve">xy </t>
  </si>
  <si>
    <t>sum</t>
  </si>
  <si>
    <t>∑x*∑y</t>
  </si>
  <si>
    <r>
      <t>n∑x</t>
    </r>
    <r>
      <rPr>
        <vertAlign val="superscript"/>
        <sz val="11"/>
        <color theme="1"/>
        <rFont val="Aptos Narrow"/>
        <family val="2"/>
        <scheme val="minor"/>
      </rPr>
      <t>2</t>
    </r>
  </si>
  <si>
    <t>Ŷ</t>
  </si>
  <si>
    <r>
      <t>x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</si>
  <si>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n∑(xy)</t>
  </si>
  <si>
    <r>
      <t>(∑x)</t>
    </r>
    <r>
      <rPr>
        <vertAlign val="superscript"/>
        <sz val="11"/>
        <color theme="1"/>
        <rFont val="Aptos Narrow"/>
        <family val="2"/>
        <scheme val="minor"/>
      </rPr>
      <t>2</t>
    </r>
  </si>
  <si>
    <t>Slope:</t>
  </si>
  <si>
    <t>Intercept: b</t>
  </si>
  <si>
    <t xml:space="preserve">x = [0.13, 0.22, 0.33] </t>
  </si>
  <si>
    <t>SSR</t>
  </si>
  <si>
    <t>SSE</t>
  </si>
  <si>
    <t>F Stats.</t>
  </si>
  <si>
    <t>R^2</t>
  </si>
  <si>
    <t>R^2 Adj,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</si>
</sst>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Font="1"/>
    <xf numFmtId="0" fontId="6" fillId="0" borderId="0" xfId="0" applyFont="1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533400</xdr:colOff>
      <xdr:row>11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60C283-7566-1C7A-1FAA-3764BDC806EB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0</xdr:col>
      <xdr:colOff>198120</xdr:colOff>
      <xdr:row>8</xdr:row>
      <xdr:rowOff>179070</xdr:rowOff>
    </xdr:from>
    <xdr:ext cx="105734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24EA700-8299-3F90-A050-EF00C083E350}"/>
                </a:ext>
              </a:extLst>
            </xdr:cNvPr>
            <xdr:cNvSpPr txBox="1"/>
          </xdr:nvSpPr>
          <xdr:spPr>
            <a:xfrm>
              <a:off x="198120" y="1664970"/>
              <a:ext cx="10573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CA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24EA700-8299-3F90-A050-EF00C083E350}"/>
                </a:ext>
              </a:extLst>
            </xdr:cNvPr>
            <xdr:cNvSpPr txBox="1"/>
          </xdr:nvSpPr>
          <xdr:spPr>
            <a:xfrm>
              <a:off x="198120" y="1664970"/>
              <a:ext cx="10573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100" b="0" i="0">
                  <a:latin typeface="Cambria Math" panose="02040503050406030204" pitchFamily="18" charset="0"/>
                </a:rPr>
                <a:t>𝑥 ̅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0</xdr:col>
      <xdr:colOff>251460</xdr:colOff>
      <xdr:row>11</xdr:row>
      <xdr:rowOff>171450</xdr:rowOff>
    </xdr:from>
    <xdr:ext cx="10772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5F763AF-0056-B8EF-90EE-4441CA3E1771}"/>
                </a:ext>
              </a:extLst>
            </xdr:cNvPr>
            <xdr:cNvSpPr txBox="1"/>
          </xdr:nvSpPr>
          <xdr:spPr>
            <a:xfrm>
              <a:off x="251460" y="2205990"/>
              <a:ext cx="1077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CA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5F763AF-0056-B8EF-90EE-4441CA3E1771}"/>
                </a:ext>
              </a:extLst>
            </xdr:cNvPr>
            <xdr:cNvSpPr txBox="1"/>
          </xdr:nvSpPr>
          <xdr:spPr>
            <a:xfrm>
              <a:off x="251460" y="2205990"/>
              <a:ext cx="1077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100" b="0" i="0">
                  <a:latin typeface="Cambria Math" panose="02040503050406030204" pitchFamily="18" charset="0"/>
                </a:rPr>
                <a:t>𝑦 ̅</a:t>
              </a:r>
              <a:endParaRPr lang="en-CA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A729-DB88-420E-B969-1137E33A7447}">
  <dimension ref="A1:H21"/>
  <sheetViews>
    <sheetView tabSelected="1" workbookViewId="0">
      <selection activeCell="E15" sqref="E15"/>
    </sheetView>
  </sheetViews>
  <sheetFormatPr defaultRowHeight="14.4" x14ac:dyDescent="0.3"/>
  <cols>
    <col min="6" max="6" width="12.6640625" bestFit="1" customWidth="1"/>
    <col min="7" max="7" width="11" bestFit="1" customWidth="1"/>
    <col min="8" max="8" width="12" bestFit="1" customWidth="1"/>
  </cols>
  <sheetData>
    <row r="1" spans="1:8" ht="16.8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8</v>
      </c>
      <c r="F1" s="7" t="s">
        <v>7</v>
      </c>
      <c r="G1" s="8" t="s">
        <v>14</v>
      </c>
      <c r="H1" s="8" t="s">
        <v>15</v>
      </c>
    </row>
    <row r="2" spans="1:8" x14ac:dyDescent="0.3">
      <c r="A2" s="4">
        <v>6</v>
      </c>
      <c r="B2" s="4">
        <v>0.19</v>
      </c>
      <c r="C2" s="4">
        <v>0.13</v>
      </c>
      <c r="D2" s="4">
        <f>B2*C2</f>
        <v>2.47E-2</v>
      </c>
      <c r="E2" s="4">
        <f>+B2^2</f>
        <v>3.61E-2</v>
      </c>
      <c r="F2" s="4">
        <f>B2*F11+F14</f>
        <v>0.44662686567164117</v>
      </c>
      <c r="G2" s="4">
        <f>(F2-A14)^2</f>
        <v>6.3936334249151301E-3</v>
      </c>
      <c r="H2" s="4">
        <f>(C2-F2)^2</f>
        <v>0.10025257206504749</v>
      </c>
    </row>
    <row r="3" spans="1:8" x14ac:dyDescent="0.3">
      <c r="A3" s="4"/>
      <c r="B3" s="4">
        <v>0.28000000000000003</v>
      </c>
      <c r="C3" s="4">
        <v>0.12</v>
      </c>
      <c r="D3" s="4">
        <f>B3*C3</f>
        <v>3.3600000000000005E-2</v>
      </c>
      <c r="E3" s="4">
        <f>+B3^2</f>
        <v>7.8400000000000011E-2</v>
      </c>
      <c r="F3" s="4">
        <f>B3*F11+F14</f>
        <v>0.34131343283582088</v>
      </c>
      <c r="G3" s="4">
        <f>(F3-A14)^2</f>
        <v>6.4278646568154173E-4</v>
      </c>
      <c r="H3" s="4">
        <f>(C3-F3)^2</f>
        <v>4.8979635553575401E-2</v>
      </c>
    </row>
    <row r="4" spans="1:8" x14ac:dyDescent="0.3">
      <c r="A4" s="4"/>
      <c r="B4" s="4">
        <v>0.35</v>
      </c>
      <c r="C4" s="4">
        <v>0.35</v>
      </c>
      <c r="D4" s="4">
        <f>+B4*C4</f>
        <v>0.12249999999999998</v>
      </c>
      <c r="E4" s="4">
        <f>+B4^2</f>
        <v>0.12249999999999998</v>
      </c>
      <c r="F4" s="4">
        <f>B4*F11+F14</f>
        <v>0.25940298507462745</v>
      </c>
      <c r="G4" s="4">
        <f>(F4-A14)^2</f>
        <v>1.1505497388678367E-2</v>
      </c>
      <c r="H4" s="4">
        <f>(C4-F4)^2</f>
        <v>8.2078191133881737E-3</v>
      </c>
    </row>
    <row r="5" spans="1:8" x14ac:dyDescent="0.3">
      <c r="A5" s="4"/>
      <c r="B5" s="4">
        <v>0.37</v>
      </c>
      <c r="C5" s="4">
        <v>0.34</v>
      </c>
      <c r="D5" s="4">
        <f>+B5*C5</f>
        <v>0.1258</v>
      </c>
      <c r="E5" s="4">
        <f>+B5^2</f>
        <v>0.13689999999999999</v>
      </c>
      <c r="F5" s="4">
        <f>B5*F11+F14</f>
        <v>0.23600000000000071</v>
      </c>
      <c r="G5" s="4">
        <f>(F5-A14)^2</f>
        <v>1.7073777777777587E-2</v>
      </c>
      <c r="H5" s="4">
        <f>(C5-F5)^2</f>
        <v>1.0815999999999857E-2</v>
      </c>
    </row>
    <row r="6" spans="1:8" x14ac:dyDescent="0.3">
      <c r="A6" s="4"/>
      <c r="B6" s="4">
        <v>0.2</v>
      </c>
      <c r="C6" s="4">
        <v>0.36</v>
      </c>
      <c r="D6" s="4">
        <f>+B6*C6</f>
        <v>7.1999999999999995E-2</v>
      </c>
      <c r="E6" s="4">
        <f>+B6^2</f>
        <v>4.0000000000000008E-2</v>
      </c>
      <c r="F6" s="4">
        <f>B6*F11+F14</f>
        <v>0.43492537313432778</v>
      </c>
      <c r="G6" s="4">
        <f>(F6-A14)^2</f>
        <v>4.6592510086383241E-3</v>
      </c>
      <c r="H6" s="9">
        <f>(C6-F6)^2</f>
        <v>5.6138115393182487E-3</v>
      </c>
    </row>
    <row r="7" spans="1:8" ht="15" thickBot="1" x14ac:dyDescent="0.35">
      <c r="A7" s="5"/>
      <c r="B7" s="5">
        <v>0.16</v>
      </c>
      <c r="C7" s="5">
        <v>0.9</v>
      </c>
      <c r="D7" s="5">
        <f>+B7*C7</f>
        <v>0.14400000000000002</v>
      </c>
      <c r="E7" s="5">
        <f>+B7^2</f>
        <v>2.5600000000000001E-2</v>
      </c>
      <c r="F7" s="5">
        <f>B7*F11+F14</f>
        <v>0.48173134328358125</v>
      </c>
      <c r="G7" s="5">
        <f>(F7-A14)^2</f>
        <v>1.3239879804955135E-2</v>
      </c>
      <c r="H7" s="5">
        <f>(C7-F7)^2</f>
        <v>0.17494866919135738</v>
      </c>
    </row>
    <row r="8" spans="1:8" x14ac:dyDescent="0.3">
      <c r="A8" t="s">
        <v>4</v>
      </c>
      <c r="B8">
        <f>SUM(B2:B7)</f>
        <v>1.5499999999999998</v>
      </c>
      <c r="C8">
        <f>SUM(C2:C7)</f>
        <v>2.1999999999999997</v>
      </c>
      <c r="D8">
        <f>SUM(D2:D7)</f>
        <v>0.52259999999999995</v>
      </c>
      <c r="E8">
        <f>SUM(E2:E7)</f>
        <v>0.43950000000000006</v>
      </c>
      <c r="G8" s="9">
        <f>SUM(G2:G7)</f>
        <v>5.3514825870646085E-2</v>
      </c>
      <c r="H8" s="9">
        <f>SUM(H2:H7)</f>
        <v>0.3488185074626865</v>
      </c>
    </row>
    <row r="10" spans="1:8" x14ac:dyDescent="0.3">
      <c r="C10" s="1" t="s">
        <v>5</v>
      </c>
      <c r="D10" t="s">
        <v>9</v>
      </c>
      <c r="F10" t="s">
        <v>11</v>
      </c>
      <c r="H10" t="s">
        <v>16</v>
      </c>
    </row>
    <row r="11" spans="1:8" x14ac:dyDescent="0.3">
      <c r="A11">
        <f>B8/6</f>
        <v>0.2583333333333333</v>
      </c>
      <c r="C11">
        <f>+B8*C8</f>
        <v>3.4099999999999993</v>
      </c>
      <c r="D11">
        <f>6*D8</f>
        <v>3.1355999999999997</v>
      </c>
      <c r="F11">
        <f xml:space="preserve"> (6*D8 - B8 * C8) /(6 * E8 - D14)</f>
        <v>-1.170149253731336</v>
      </c>
      <c r="H11">
        <f>G8/(H8/4)</f>
        <v>0.61366956999975841</v>
      </c>
    </row>
    <row r="13" spans="1:8" ht="16.2" x14ac:dyDescent="0.3">
      <c r="C13" s="2" t="s">
        <v>6</v>
      </c>
      <c r="D13" t="s">
        <v>10</v>
      </c>
      <c r="F13" t="s">
        <v>12</v>
      </c>
      <c r="H13" t="s">
        <v>17</v>
      </c>
    </row>
    <row r="14" spans="1:8" x14ac:dyDescent="0.3">
      <c r="A14">
        <f>+C8/6</f>
        <v>0.36666666666666664</v>
      </c>
      <c r="C14">
        <f>6*E8</f>
        <v>2.6370000000000005</v>
      </c>
      <c r="D14">
        <f>+B8^2</f>
        <v>2.4024999999999994</v>
      </c>
      <c r="F14">
        <f>(C8 - F11*B8)/6</f>
        <v>0.66895522388059503</v>
      </c>
      <c r="H14">
        <f>G8 / (G8+H8)</f>
        <v>0.13301116620707418</v>
      </c>
    </row>
    <row r="16" spans="1:8" x14ac:dyDescent="0.3">
      <c r="H16" t="s">
        <v>18</v>
      </c>
    </row>
    <row r="17" spans="1:8" x14ac:dyDescent="0.3">
      <c r="H17">
        <f>1 - ((1 -H14)*(5))/4</f>
        <v>-8.3736042241157271E-2</v>
      </c>
    </row>
    <row r="18" spans="1:8" ht="15.6" x14ac:dyDescent="0.3">
      <c r="A18" s="3" t="s">
        <v>13</v>
      </c>
    </row>
    <row r="19" spans="1:8" x14ac:dyDescent="0.3">
      <c r="A19">
        <f>0.13*F11+F14</f>
        <v>0.51683582089552127</v>
      </c>
    </row>
    <row r="20" spans="1:8" x14ac:dyDescent="0.3">
      <c r="A20">
        <f>0.22*F11+F14</f>
        <v>0.41152238805970109</v>
      </c>
    </row>
    <row r="21" spans="1:8" x14ac:dyDescent="0.3">
      <c r="A21">
        <f>0.33*F11+F14</f>
        <v>0.28280597014925413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Hoang</dc:creator>
  <cp:lastModifiedBy>Linh Hoang</cp:lastModifiedBy>
  <dcterms:created xsi:type="dcterms:W3CDTF">2025-09-19T05:18:33Z</dcterms:created>
  <dcterms:modified xsi:type="dcterms:W3CDTF">2025-09-19T22:04:07Z</dcterms:modified>
</cp:coreProperties>
</file>